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ancien pc\Cycle ing\ing2 s2\applied derivatives\"/>
    </mc:Choice>
  </mc:AlternateContent>
  <xr:revisionPtr revIDLastSave="0" documentId="13_ncr:1_{50FDB234-3470-4730-B8F9-D2452BDC8A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 1" sheetId="1" r:id="rId1"/>
    <sheet name="Question 2ac" sheetId="5" r:id="rId2"/>
    <sheet name="Question2b" sheetId="6" r:id="rId3"/>
    <sheet name="Question3ab" sheetId="4" r:id="rId4"/>
    <sheet name="Question3c" sheetId="7" r:id="rId5"/>
    <sheet name="Question4" sheetId="8" r:id="rId6"/>
    <sheet name="Question 5" sheetId="9" r:id="rId7"/>
  </sheets>
  <definedNames>
    <definedName name="solver_adj" localSheetId="1" hidden="1">'Question 2ac'!#REF!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'Question 2ac'!#REF!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" l="1"/>
  <c r="B33" i="4"/>
  <c r="G28" i="9"/>
  <c r="I29" i="9"/>
  <c r="I30" i="9"/>
  <c r="I31" i="9"/>
  <c r="I32" i="9"/>
  <c r="I33" i="9"/>
  <c r="I34" i="9"/>
  <c r="I35" i="9"/>
  <c r="I28" i="9"/>
  <c r="J28" i="9" s="1"/>
  <c r="H29" i="9"/>
  <c r="H30" i="9"/>
  <c r="H31" i="9"/>
  <c r="H32" i="9"/>
  <c r="H33" i="9"/>
  <c r="H34" i="9"/>
  <c r="H35" i="9"/>
  <c r="H28" i="9"/>
  <c r="J29" i="9"/>
  <c r="J30" i="9"/>
  <c r="J31" i="9"/>
  <c r="J32" i="9"/>
  <c r="J33" i="9"/>
  <c r="J34" i="9"/>
  <c r="J35" i="9"/>
  <c r="D29" i="9"/>
  <c r="D30" i="9"/>
  <c r="D31" i="9"/>
  <c r="D32" i="9"/>
  <c r="D33" i="9"/>
  <c r="D34" i="9"/>
  <c r="D35" i="9"/>
  <c r="D28" i="9"/>
  <c r="F35" i="9"/>
  <c r="E35" i="9"/>
  <c r="F34" i="9"/>
  <c r="E34" i="9"/>
  <c r="G35" i="9" s="1"/>
  <c r="F33" i="9"/>
  <c r="E33" i="9"/>
  <c r="G34" i="9" s="1"/>
  <c r="F32" i="9"/>
  <c r="E32" i="9"/>
  <c r="G33" i="9" s="1"/>
  <c r="F31" i="9"/>
  <c r="E31" i="9"/>
  <c r="G32" i="9" s="1"/>
  <c r="F30" i="9"/>
  <c r="E30" i="9"/>
  <c r="G31" i="9" s="1"/>
  <c r="F29" i="9"/>
  <c r="E29" i="9"/>
  <c r="G30" i="9" s="1"/>
  <c r="F28" i="9"/>
  <c r="E28" i="9"/>
  <c r="N42" i="9"/>
  <c r="K47" i="9"/>
  <c r="K45" i="9"/>
  <c r="D41" i="9"/>
  <c r="D42" i="9"/>
  <c r="D43" i="9"/>
  <c r="D44" i="9"/>
  <c r="D45" i="9"/>
  <c r="D46" i="9"/>
  <c r="D47" i="9"/>
  <c r="D40" i="9"/>
  <c r="F47" i="9"/>
  <c r="E47" i="9"/>
  <c r="E46" i="9"/>
  <c r="F45" i="9"/>
  <c r="E45" i="9"/>
  <c r="G47" i="9" s="1"/>
  <c r="H47" i="9" s="1"/>
  <c r="E44" i="9"/>
  <c r="E43" i="9"/>
  <c r="G45" i="9" s="1"/>
  <c r="H45" i="9" s="1"/>
  <c r="E42" i="9"/>
  <c r="E41" i="9"/>
  <c r="E40" i="9"/>
  <c r="B16" i="9"/>
  <c r="B4" i="9"/>
  <c r="D4" i="9" s="1"/>
  <c r="E4" i="9" s="1"/>
  <c r="B24" i="8"/>
  <c r="B23" i="8"/>
  <c r="B22" i="8"/>
  <c r="B21" i="8"/>
  <c r="B20" i="8"/>
  <c r="C9" i="8"/>
  <c r="AJ81" i="7"/>
  <c r="AI82" i="7" s="1"/>
  <c r="AH83" i="7" s="1"/>
  <c r="AG84" i="7" s="1"/>
  <c r="AF85" i="7" s="1"/>
  <c r="AE86" i="7" s="1"/>
  <c r="AD87" i="7" s="1"/>
  <c r="AC88" i="7" s="1"/>
  <c r="AB89" i="7" s="1"/>
  <c r="AA90" i="7" s="1"/>
  <c r="Z91" i="7" s="1"/>
  <c r="Y92" i="7" s="1"/>
  <c r="X93" i="7" s="1"/>
  <c r="W94" i="7" s="1"/>
  <c r="V95" i="7" s="1"/>
  <c r="U96" i="7" s="1"/>
  <c r="T97" i="7" s="1"/>
  <c r="S98" i="7" s="1"/>
  <c r="R99" i="7" s="1"/>
  <c r="Q100" i="7" s="1"/>
  <c r="P101" i="7" s="1"/>
  <c r="O102" i="7" s="1"/>
  <c r="N103" i="7" s="1"/>
  <c r="M104" i="7" s="1"/>
  <c r="L105" i="7" s="1"/>
  <c r="K106" i="7" s="1"/>
  <c r="J107" i="7" s="1"/>
  <c r="I108" i="7" s="1"/>
  <c r="H109" i="7" s="1"/>
  <c r="G110" i="7" s="1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L81" i="7"/>
  <c r="AM81" i="7"/>
  <c r="AN81" i="7"/>
  <c r="AO81" i="7"/>
  <c r="AP81" i="7"/>
  <c r="AQ81" i="7"/>
  <c r="AL82" i="7"/>
  <c r="AM82" i="7"/>
  <c r="AN82" i="7"/>
  <c r="AO82" i="7"/>
  <c r="AP82" i="7"/>
  <c r="AQ82" i="7"/>
  <c r="AL83" i="7"/>
  <c r="AM83" i="7"/>
  <c r="AN83" i="7"/>
  <c r="AO83" i="7"/>
  <c r="AP83" i="7"/>
  <c r="AQ83" i="7"/>
  <c r="AL84" i="7"/>
  <c r="AM84" i="7" s="1"/>
  <c r="AP84" i="7" s="1"/>
  <c r="AN84" i="7"/>
  <c r="AL85" i="7"/>
  <c r="AM85" i="7"/>
  <c r="AN85" i="7"/>
  <c r="AO85" i="7"/>
  <c r="AP85" i="7"/>
  <c r="AQ85" i="7"/>
  <c r="AL86" i="7"/>
  <c r="AM86" i="7"/>
  <c r="AP86" i="7" s="1"/>
  <c r="AN86" i="7"/>
  <c r="AO86" i="7"/>
  <c r="AQ86" i="7"/>
  <c r="AL87" i="7"/>
  <c r="AM87" i="7"/>
  <c r="AN87" i="7"/>
  <c r="AO87" i="7"/>
  <c r="AP87" i="7"/>
  <c r="AQ87" i="7"/>
  <c r="AL88" i="7"/>
  <c r="AM88" i="7" s="1"/>
  <c r="AP88" i="7" s="1"/>
  <c r="AN88" i="7"/>
  <c r="AO88" i="7" s="1"/>
  <c r="AQ88" i="7" s="1"/>
  <c r="AL89" i="7"/>
  <c r="AM89" i="7"/>
  <c r="AN89" i="7"/>
  <c r="AO89" i="7"/>
  <c r="AP89" i="7"/>
  <c r="AQ89" i="7"/>
  <c r="AL90" i="7"/>
  <c r="AM90" i="7" s="1"/>
  <c r="AP90" i="7" s="1"/>
  <c r="AN90" i="7"/>
  <c r="AO90" i="7" s="1"/>
  <c r="AQ90" i="7" s="1"/>
  <c r="AL91" i="7"/>
  <c r="AM91" i="7"/>
  <c r="AN91" i="7"/>
  <c r="AO91" i="7"/>
  <c r="AP91" i="7"/>
  <c r="AQ91" i="7"/>
  <c r="AL92" i="7"/>
  <c r="AM92" i="7" s="1"/>
  <c r="AP92" i="7" s="1"/>
  <c r="AN92" i="7"/>
  <c r="AO92" i="7" s="1"/>
  <c r="AQ92" i="7" s="1"/>
  <c r="AL93" i="7"/>
  <c r="AM93" i="7"/>
  <c r="AN93" i="7"/>
  <c r="AO93" i="7"/>
  <c r="AP93" i="7"/>
  <c r="AQ93" i="7"/>
  <c r="AL94" i="7"/>
  <c r="AM94" i="7"/>
  <c r="AP94" i="7" s="1"/>
  <c r="AN94" i="7"/>
  <c r="AL95" i="7"/>
  <c r="AM95" i="7"/>
  <c r="AN95" i="7"/>
  <c r="AO95" i="7"/>
  <c r="AP95" i="7"/>
  <c r="AQ95" i="7"/>
  <c r="AL96" i="7"/>
  <c r="AN96" i="7"/>
  <c r="AO96" i="7" s="1"/>
  <c r="AQ96" i="7" s="1"/>
  <c r="AL97" i="7"/>
  <c r="AM97" i="7"/>
  <c r="AN97" i="7"/>
  <c r="AO97" i="7"/>
  <c r="AP97" i="7"/>
  <c r="AQ97" i="7"/>
  <c r="AL98" i="7"/>
  <c r="AM98" i="7" s="1"/>
  <c r="AP98" i="7" s="1"/>
  <c r="AN98" i="7"/>
  <c r="AO98" i="7" s="1"/>
  <c r="AQ98" i="7" s="1"/>
  <c r="AL99" i="7"/>
  <c r="AM99" i="7"/>
  <c r="AN99" i="7"/>
  <c r="AO99" i="7"/>
  <c r="AP99" i="7"/>
  <c r="AQ99" i="7"/>
  <c r="AL100" i="7"/>
  <c r="AM100" i="7" s="1"/>
  <c r="AP100" i="7" s="1"/>
  <c r="AN100" i="7"/>
  <c r="AL101" i="7"/>
  <c r="AM101" i="7"/>
  <c r="AN101" i="7"/>
  <c r="AO101" i="7"/>
  <c r="AP101" i="7"/>
  <c r="AQ101" i="7"/>
  <c r="AL102" i="7"/>
  <c r="AN102" i="7"/>
  <c r="AO102" i="7" s="1"/>
  <c r="AQ102" i="7" s="1"/>
  <c r="AL103" i="7"/>
  <c r="AM103" i="7"/>
  <c r="AN103" i="7"/>
  <c r="AO103" i="7"/>
  <c r="AP103" i="7"/>
  <c r="AQ103" i="7"/>
  <c r="AL104" i="7"/>
  <c r="AN104" i="7"/>
  <c r="AO104" i="7" s="1"/>
  <c r="AQ104" i="7" s="1"/>
  <c r="AL105" i="7"/>
  <c r="AM105" i="7"/>
  <c r="AN105" i="7"/>
  <c r="AO105" i="7"/>
  <c r="AP105" i="7"/>
  <c r="AQ105" i="7"/>
  <c r="AL106" i="7"/>
  <c r="AM106" i="7" s="1"/>
  <c r="AP106" i="7" s="1"/>
  <c r="AN106" i="7"/>
  <c r="AO106" i="7" s="1"/>
  <c r="AQ106" i="7" s="1"/>
  <c r="AL107" i="7"/>
  <c r="AM107" i="7"/>
  <c r="AN107" i="7"/>
  <c r="AO107" i="7"/>
  <c r="AP107" i="7"/>
  <c r="AQ107" i="7"/>
  <c r="AL108" i="7"/>
  <c r="AM108" i="7" s="1"/>
  <c r="AP108" i="7" s="1"/>
  <c r="AN108" i="7"/>
  <c r="AL109" i="7"/>
  <c r="AM109" i="7"/>
  <c r="AN109" i="7"/>
  <c r="AO109" i="7"/>
  <c r="AP109" i="7"/>
  <c r="AQ109" i="7"/>
  <c r="AL110" i="7"/>
  <c r="AN110" i="7"/>
  <c r="AL111" i="7"/>
  <c r="AM111" i="7"/>
  <c r="AN111" i="7"/>
  <c r="AO111" i="7"/>
  <c r="AP111" i="7"/>
  <c r="AQ111" i="7"/>
  <c r="AL112" i="7"/>
  <c r="AM112" i="7" s="1"/>
  <c r="AP112" i="7" s="1"/>
  <c r="AN112" i="7"/>
  <c r="AO112" i="7" s="1"/>
  <c r="AQ112" i="7" s="1"/>
  <c r="AL113" i="7"/>
  <c r="AM113" i="7"/>
  <c r="AN113" i="7"/>
  <c r="AO113" i="7"/>
  <c r="AP113" i="7"/>
  <c r="AQ113" i="7"/>
  <c r="AL114" i="7"/>
  <c r="AM114" i="7" s="1"/>
  <c r="AP114" i="7" s="1"/>
  <c r="AN114" i="7"/>
  <c r="AO114" i="7" s="1"/>
  <c r="AQ114" i="7" s="1"/>
  <c r="AL115" i="7"/>
  <c r="AM115" i="7"/>
  <c r="AN115" i="7"/>
  <c r="AO115" i="7"/>
  <c r="AP115" i="7"/>
  <c r="AQ115" i="7"/>
  <c r="AL116" i="7"/>
  <c r="AM116" i="7" s="1"/>
  <c r="AP116" i="7" s="1"/>
  <c r="AN116" i="7"/>
  <c r="AO116" i="7" s="1"/>
  <c r="AQ116" i="7" s="1"/>
  <c r="AL117" i="7"/>
  <c r="AM117" i="7"/>
  <c r="AN117" i="7"/>
  <c r="AO117" i="7"/>
  <c r="AP117" i="7"/>
  <c r="AQ117" i="7"/>
  <c r="AL118" i="7"/>
  <c r="AM118" i="7" s="1"/>
  <c r="AP118" i="7" s="1"/>
  <c r="AN118" i="7"/>
  <c r="AO118" i="7" s="1"/>
  <c r="AQ118" i="7" s="1"/>
  <c r="AL119" i="7"/>
  <c r="AM119" i="7"/>
  <c r="AN119" i="7"/>
  <c r="AO119" i="7"/>
  <c r="AP119" i="7"/>
  <c r="AQ119" i="7"/>
  <c r="AL120" i="7"/>
  <c r="AM120" i="7"/>
  <c r="AN120" i="7"/>
  <c r="AP120" i="7"/>
  <c r="AL121" i="7"/>
  <c r="AM121" i="7"/>
  <c r="AN121" i="7"/>
  <c r="AO121" i="7"/>
  <c r="AP121" i="7"/>
  <c r="AQ121" i="7"/>
  <c r="AL122" i="7"/>
  <c r="AM122" i="7" s="1"/>
  <c r="AP122" i="7" s="1"/>
  <c r="AN122" i="7"/>
  <c r="AO122" i="7" s="1"/>
  <c r="AQ122" i="7" s="1"/>
  <c r="AL123" i="7"/>
  <c r="AM123" i="7"/>
  <c r="AN123" i="7"/>
  <c r="AO123" i="7"/>
  <c r="AP123" i="7"/>
  <c r="AQ123" i="7"/>
  <c r="AL124" i="7"/>
  <c r="AM124" i="7"/>
  <c r="AN124" i="7"/>
  <c r="AO124" i="7" s="1"/>
  <c r="AQ124" i="7" s="1"/>
  <c r="AP124" i="7"/>
  <c r="AL125" i="7"/>
  <c r="AM125" i="7"/>
  <c r="AN125" i="7"/>
  <c r="AO125" i="7"/>
  <c r="AP125" i="7"/>
  <c r="AQ125" i="7"/>
  <c r="AL126" i="7"/>
  <c r="AN126" i="7"/>
  <c r="AO126" i="7"/>
  <c r="AQ126" i="7"/>
  <c r="AL127" i="7"/>
  <c r="AM127" i="7"/>
  <c r="AN127" i="7"/>
  <c r="AO127" i="7"/>
  <c r="AP127" i="7"/>
  <c r="AQ127" i="7"/>
  <c r="AL128" i="7"/>
  <c r="AM128" i="7"/>
  <c r="AN128" i="7"/>
  <c r="AO128" i="7"/>
  <c r="AP128" i="7"/>
  <c r="AQ128" i="7"/>
  <c r="AL129" i="7"/>
  <c r="AM129" i="7"/>
  <c r="AN129" i="7"/>
  <c r="AO129" i="7"/>
  <c r="AP129" i="7"/>
  <c r="AQ129" i="7"/>
  <c r="AL130" i="7"/>
  <c r="AM130" i="7"/>
  <c r="AN130" i="7"/>
  <c r="AO130" i="7"/>
  <c r="AP130" i="7"/>
  <c r="AQ130" i="7"/>
  <c r="AL131" i="7"/>
  <c r="AM131" i="7"/>
  <c r="AN131" i="7"/>
  <c r="AO131" i="7"/>
  <c r="AP131" i="7"/>
  <c r="AQ131" i="7"/>
  <c r="AL132" i="7"/>
  <c r="AM132" i="7"/>
  <c r="AN132" i="7"/>
  <c r="AO132" i="7"/>
  <c r="AP132" i="7"/>
  <c r="AQ132" i="7"/>
  <c r="AL133" i="7"/>
  <c r="AM133" i="7"/>
  <c r="AN133" i="7"/>
  <c r="AO133" i="7"/>
  <c r="AP133" i="7"/>
  <c r="AQ133" i="7"/>
  <c r="AL134" i="7"/>
  <c r="AM134" i="7"/>
  <c r="AN134" i="7"/>
  <c r="AO134" i="7"/>
  <c r="AP134" i="7"/>
  <c r="AQ134" i="7"/>
  <c r="AL135" i="7"/>
  <c r="AM135" i="7"/>
  <c r="AN135" i="7"/>
  <c r="AO135" i="7"/>
  <c r="AP135" i="7"/>
  <c r="AQ135" i="7"/>
  <c r="AL136" i="7"/>
  <c r="AM136" i="7" s="1"/>
  <c r="AP136" i="7" s="1"/>
  <c r="AN136" i="7"/>
  <c r="AL137" i="7"/>
  <c r="AM137" i="7"/>
  <c r="AN137" i="7"/>
  <c r="AO137" i="7"/>
  <c r="AP137" i="7"/>
  <c r="AQ137" i="7"/>
  <c r="AL138" i="7"/>
  <c r="AM138" i="7" s="1"/>
  <c r="AP138" i="7" s="1"/>
  <c r="AN138" i="7"/>
  <c r="AO138" i="7" s="1"/>
  <c r="AQ138" i="7" s="1"/>
  <c r="AL139" i="7"/>
  <c r="AM139" i="7"/>
  <c r="AN139" i="7"/>
  <c r="AO139" i="7"/>
  <c r="AP139" i="7"/>
  <c r="AQ139" i="7"/>
  <c r="AL140" i="7"/>
  <c r="AN140" i="7"/>
  <c r="AO140" i="7" s="1"/>
  <c r="AQ140" i="7" s="1"/>
  <c r="AQ80" i="7"/>
  <c r="AP80" i="7"/>
  <c r="AO80" i="7"/>
  <c r="AN80" i="7"/>
  <c r="AJ80" i="7" s="1"/>
  <c r="AM80" i="7"/>
  <c r="AL80" i="7"/>
  <c r="AJ75" i="7"/>
  <c r="AI74" i="7"/>
  <c r="AH73" i="7"/>
  <c r="AJ73" i="7" s="1"/>
  <c r="AG72" i="7"/>
  <c r="AI72" i="7" s="1"/>
  <c r="AF71" i="7"/>
  <c r="AH71" i="7" s="1"/>
  <c r="AJ71" i="7" s="1"/>
  <c r="AE70" i="7"/>
  <c r="AG70" i="7" s="1"/>
  <c r="AI70" i="7" s="1"/>
  <c r="AD69" i="7"/>
  <c r="AF69" i="7" s="1"/>
  <c r="AH69" i="7" s="1"/>
  <c r="AJ69" i="7" s="1"/>
  <c r="AC68" i="7"/>
  <c r="AE68" i="7" s="1"/>
  <c r="AG68" i="7" s="1"/>
  <c r="AI68" i="7" s="1"/>
  <c r="AB67" i="7"/>
  <c r="AD67" i="7" s="1"/>
  <c r="AF67" i="7" s="1"/>
  <c r="AH67" i="7" s="1"/>
  <c r="AJ67" i="7" s="1"/>
  <c r="AA66" i="7"/>
  <c r="AC66" i="7" s="1"/>
  <c r="AE66" i="7" s="1"/>
  <c r="AG66" i="7" s="1"/>
  <c r="AI66" i="7" s="1"/>
  <c r="Z65" i="7"/>
  <c r="AB65" i="7" s="1"/>
  <c r="AD65" i="7" s="1"/>
  <c r="AF65" i="7" s="1"/>
  <c r="AH65" i="7" s="1"/>
  <c r="AJ65" i="7" s="1"/>
  <c r="AA64" i="7"/>
  <c r="AC64" i="7" s="1"/>
  <c r="AE64" i="7" s="1"/>
  <c r="AG64" i="7" s="1"/>
  <c r="AI64" i="7" s="1"/>
  <c r="Z63" i="7"/>
  <c r="AB63" i="7" s="1"/>
  <c r="AD63" i="7" s="1"/>
  <c r="AF63" i="7" s="1"/>
  <c r="AH63" i="7" s="1"/>
  <c r="AJ63" i="7" s="1"/>
  <c r="AA62" i="7"/>
  <c r="AC62" i="7" s="1"/>
  <c r="AE62" i="7" s="1"/>
  <c r="AG62" i="7" s="1"/>
  <c r="AI62" i="7" s="1"/>
  <c r="Z61" i="7"/>
  <c r="AB61" i="7" s="1"/>
  <c r="AD61" i="7" s="1"/>
  <c r="AF61" i="7" s="1"/>
  <c r="AH61" i="7" s="1"/>
  <c r="AJ61" i="7" s="1"/>
  <c r="AA60" i="7"/>
  <c r="AC60" i="7" s="1"/>
  <c r="AE60" i="7" s="1"/>
  <c r="AG60" i="7" s="1"/>
  <c r="AI60" i="7" s="1"/>
  <c r="Z59" i="7"/>
  <c r="AB59" i="7" s="1"/>
  <c r="AD59" i="7" s="1"/>
  <c r="AF59" i="7" s="1"/>
  <c r="AH59" i="7" s="1"/>
  <c r="AJ59" i="7" s="1"/>
  <c r="AA58" i="7"/>
  <c r="AC58" i="7" s="1"/>
  <c r="AE58" i="7" s="1"/>
  <c r="AG58" i="7" s="1"/>
  <c r="AI58" i="7" s="1"/>
  <c r="Z57" i="7"/>
  <c r="AB57" i="7" s="1"/>
  <c r="AD57" i="7" s="1"/>
  <c r="AF57" i="7" s="1"/>
  <c r="AH57" i="7" s="1"/>
  <c r="AJ57" i="7" s="1"/>
  <c r="AA56" i="7"/>
  <c r="AC56" i="7" s="1"/>
  <c r="AE56" i="7" s="1"/>
  <c r="AG56" i="7" s="1"/>
  <c r="AI56" i="7" s="1"/>
  <c r="Z55" i="7"/>
  <c r="AB55" i="7" s="1"/>
  <c r="AD55" i="7" s="1"/>
  <c r="AF55" i="7" s="1"/>
  <c r="AH55" i="7" s="1"/>
  <c r="AJ55" i="7" s="1"/>
  <c r="AA54" i="7"/>
  <c r="AC54" i="7" s="1"/>
  <c r="AE54" i="7" s="1"/>
  <c r="AG54" i="7" s="1"/>
  <c r="AI54" i="7" s="1"/>
  <c r="Z53" i="7"/>
  <c r="AB53" i="7" s="1"/>
  <c r="AD53" i="7" s="1"/>
  <c r="AF53" i="7" s="1"/>
  <c r="AH53" i="7" s="1"/>
  <c r="AJ53" i="7" s="1"/>
  <c r="AA52" i="7"/>
  <c r="AC52" i="7" s="1"/>
  <c r="AE52" i="7" s="1"/>
  <c r="AG52" i="7" s="1"/>
  <c r="AI52" i="7" s="1"/>
  <c r="Z51" i="7"/>
  <c r="AB51" i="7" s="1"/>
  <c r="AD51" i="7" s="1"/>
  <c r="AF51" i="7" s="1"/>
  <c r="AH51" i="7" s="1"/>
  <c r="AJ51" i="7" s="1"/>
  <c r="AA50" i="7"/>
  <c r="AC50" i="7" s="1"/>
  <c r="AE50" i="7" s="1"/>
  <c r="AG50" i="7" s="1"/>
  <c r="AI50" i="7" s="1"/>
  <c r="Z49" i="7"/>
  <c r="AB49" i="7" s="1"/>
  <c r="AD49" i="7" s="1"/>
  <c r="AF49" i="7" s="1"/>
  <c r="AH49" i="7" s="1"/>
  <c r="AJ49" i="7" s="1"/>
  <c r="AA48" i="7"/>
  <c r="AC48" i="7" s="1"/>
  <c r="AE48" i="7" s="1"/>
  <c r="AG48" i="7" s="1"/>
  <c r="AI48" i="7" s="1"/>
  <c r="F48" i="7"/>
  <c r="Z47" i="7"/>
  <c r="AB47" i="7" s="1"/>
  <c r="AD47" i="7" s="1"/>
  <c r="AF47" i="7" s="1"/>
  <c r="AH47" i="7" s="1"/>
  <c r="AJ47" i="7" s="1"/>
  <c r="AA46" i="7"/>
  <c r="AC46" i="7" s="1"/>
  <c r="AE46" i="7" s="1"/>
  <c r="AG46" i="7" s="1"/>
  <c r="AI46" i="7" s="1"/>
  <c r="Z45" i="7"/>
  <c r="AB45" i="7" s="1"/>
  <c r="AD45" i="7" s="1"/>
  <c r="AF45" i="7" s="1"/>
  <c r="AH45" i="7" s="1"/>
  <c r="AJ45" i="7" s="1"/>
  <c r="AA44" i="7"/>
  <c r="AC44" i="7" s="1"/>
  <c r="AE44" i="7" s="1"/>
  <c r="AG44" i="7" s="1"/>
  <c r="AI44" i="7" s="1"/>
  <c r="Z43" i="7"/>
  <c r="AB43" i="7" s="1"/>
  <c r="AD43" i="7" s="1"/>
  <c r="AF43" i="7" s="1"/>
  <c r="AH43" i="7" s="1"/>
  <c r="AJ43" i="7" s="1"/>
  <c r="AA42" i="7"/>
  <c r="AC42" i="7" s="1"/>
  <c r="AE42" i="7" s="1"/>
  <c r="AG42" i="7" s="1"/>
  <c r="AI42" i="7" s="1"/>
  <c r="Z41" i="7"/>
  <c r="AB41" i="7" s="1"/>
  <c r="AD41" i="7" s="1"/>
  <c r="AF41" i="7" s="1"/>
  <c r="AH41" i="7" s="1"/>
  <c r="AJ41" i="7" s="1"/>
  <c r="AA40" i="7"/>
  <c r="AC40" i="7" s="1"/>
  <c r="AE40" i="7" s="1"/>
  <c r="AG40" i="7" s="1"/>
  <c r="AI40" i="7" s="1"/>
  <c r="Z39" i="7"/>
  <c r="AB39" i="7" s="1"/>
  <c r="AD39" i="7" s="1"/>
  <c r="AF39" i="7" s="1"/>
  <c r="AH39" i="7" s="1"/>
  <c r="AJ39" i="7" s="1"/>
  <c r="AA38" i="7"/>
  <c r="AC38" i="7" s="1"/>
  <c r="AE38" i="7" s="1"/>
  <c r="AG38" i="7" s="1"/>
  <c r="AI38" i="7" s="1"/>
  <c r="Z37" i="7"/>
  <c r="AB37" i="7" s="1"/>
  <c r="AD37" i="7" s="1"/>
  <c r="AF37" i="7" s="1"/>
  <c r="AH37" i="7" s="1"/>
  <c r="AJ37" i="7" s="1"/>
  <c r="AA36" i="7"/>
  <c r="AC36" i="7" s="1"/>
  <c r="AE36" i="7" s="1"/>
  <c r="AG36" i="7" s="1"/>
  <c r="AI36" i="7" s="1"/>
  <c r="Z35" i="7"/>
  <c r="AB35" i="7" s="1"/>
  <c r="AD35" i="7" s="1"/>
  <c r="AF35" i="7" s="1"/>
  <c r="AH35" i="7" s="1"/>
  <c r="AJ35" i="7" s="1"/>
  <c r="AA34" i="7"/>
  <c r="AC34" i="7" s="1"/>
  <c r="AE34" i="7" s="1"/>
  <c r="AG34" i="7" s="1"/>
  <c r="AI34" i="7" s="1"/>
  <c r="Z33" i="7"/>
  <c r="AB33" i="7" s="1"/>
  <c r="AD33" i="7" s="1"/>
  <c r="AF33" i="7" s="1"/>
  <c r="AH33" i="7" s="1"/>
  <c r="AJ33" i="7" s="1"/>
  <c r="AA32" i="7"/>
  <c r="AC32" i="7" s="1"/>
  <c r="AE32" i="7" s="1"/>
  <c r="AG32" i="7" s="1"/>
  <c r="AI32" i="7" s="1"/>
  <c r="Z31" i="7"/>
  <c r="AB31" i="7" s="1"/>
  <c r="AD31" i="7" s="1"/>
  <c r="AF31" i="7" s="1"/>
  <c r="AH31" i="7" s="1"/>
  <c r="AJ31" i="7" s="1"/>
  <c r="AA30" i="7"/>
  <c r="AC30" i="7" s="1"/>
  <c r="AE30" i="7" s="1"/>
  <c r="AG30" i="7" s="1"/>
  <c r="AI30" i="7" s="1"/>
  <c r="AB29" i="7"/>
  <c r="AD29" i="7" s="1"/>
  <c r="AF29" i="7" s="1"/>
  <c r="AH29" i="7" s="1"/>
  <c r="AJ29" i="7" s="1"/>
  <c r="AC28" i="7"/>
  <c r="AE28" i="7" s="1"/>
  <c r="AG28" i="7" s="1"/>
  <c r="AI28" i="7" s="1"/>
  <c r="AD27" i="7"/>
  <c r="AF27" i="7" s="1"/>
  <c r="AH27" i="7" s="1"/>
  <c r="AJ27" i="7" s="1"/>
  <c r="AE26" i="7"/>
  <c r="AG26" i="7" s="1"/>
  <c r="AI26" i="7" s="1"/>
  <c r="AF25" i="7"/>
  <c r="AH25" i="7" s="1"/>
  <c r="AJ25" i="7" s="1"/>
  <c r="AG24" i="7"/>
  <c r="AI24" i="7" s="1"/>
  <c r="AH23" i="7"/>
  <c r="AJ23" i="7" s="1"/>
  <c r="AI22" i="7"/>
  <c r="AJ21" i="7"/>
  <c r="H3" i="7"/>
  <c r="H2" i="7"/>
  <c r="H1" i="7"/>
  <c r="B30" i="4"/>
  <c r="B27" i="4"/>
  <c r="L16" i="5"/>
  <c r="O13" i="5"/>
  <c r="N13" i="5"/>
  <c r="M13" i="5"/>
  <c r="R13" i="5"/>
  <c r="Q13" i="5"/>
  <c r="G79" i="6"/>
  <c r="H79" i="6" s="1"/>
  <c r="I79" i="6" s="1"/>
  <c r="J79" i="6" s="1"/>
  <c r="K79" i="6" s="1"/>
  <c r="L79" i="6" s="1"/>
  <c r="M79" i="6" s="1"/>
  <c r="N79" i="6" s="1"/>
  <c r="O79" i="6" s="1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F110" i="6"/>
  <c r="G110" i="6"/>
  <c r="G111" i="6"/>
  <c r="G109" i="6"/>
  <c r="H109" i="6"/>
  <c r="H110" i="6"/>
  <c r="H111" i="6"/>
  <c r="H112" i="6"/>
  <c r="H108" i="6"/>
  <c r="I108" i="6"/>
  <c r="I109" i="6"/>
  <c r="I110" i="6"/>
  <c r="I111" i="6"/>
  <c r="I112" i="6"/>
  <c r="I113" i="6"/>
  <c r="I107" i="6"/>
  <c r="J107" i="6"/>
  <c r="J108" i="6"/>
  <c r="J109" i="6"/>
  <c r="J110" i="6"/>
  <c r="J111" i="6"/>
  <c r="J112" i="6"/>
  <c r="J113" i="6"/>
  <c r="J114" i="6"/>
  <c r="J106" i="6"/>
  <c r="K106" i="6"/>
  <c r="K107" i="6"/>
  <c r="K108" i="6"/>
  <c r="K109" i="6"/>
  <c r="K110" i="6"/>
  <c r="K111" i="6"/>
  <c r="K112" i="6"/>
  <c r="K113" i="6"/>
  <c r="K114" i="6"/>
  <c r="K115" i="6"/>
  <c r="K105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04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03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02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01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00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99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98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97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96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95" i="6"/>
  <c r="V123" i="6"/>
  <c r="V124" i="6"/>
  <c r="V125" i="6"/>
  <c r="V126" i="6"/>
  <c r="W124" i="6"/>
  <c r="W125" i="6"/>
  <c r="W126" i="6"/>
  <c r="W127" i="6"/>
  <c r="X125" i="6"/>
  <c r="X126" i="6"/>
  <c r="X127" i="6"/>
  <c r="X128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94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93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92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91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90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89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88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87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86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85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84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83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82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81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80" i="6"/>
  <c r="AJ21" i="6"/>
  <c r="AJ75" i="6"/>
  <c r="AI22" i="6"/>
  <c r="AI74" i="6"/>
  <c r="AH23" i="6"/>
  <c r="AJ23" i="6" s="1"/>
  <c r="AH73" i="6"/>
  <c r="AJ73" i="6" s="1"/>
  <c r="AG24" i="6"/>
  <c r="AI24" i="6" s="1"/>
  <c r="AG72" i="6"/>
  <c r="AI72" i="6" s="1"/>
  <c r="AF25" i="6"/>
  <c r="AH25" i="6" s="1"/>
  <c r="AJ25" i="6" s="1"/>
  <c r="AF71" i="6"/>
  <c r="AH71" i="6" s="1"/>
  <c r="AJ71" i="6" s="1"/>
  <c r="AE26" i="6"/>
  <c r="AG26" i="6" s="1"/>
  <c r="AI26" i="6" s="1"/>
  <c r="AE70" i="6"/>
  <c r="AG70" i="6" s="1"/>
  <c r="AI70" i="6" s="1"/>
  <c r="AD27" i="6"/>
  <c r="AF27" i="6" s="1"/>
  <c r="AH27" i="6" s="1"/>
  <c r="AJ27" i="6" s="1"/>
  <c r="AD69" i="6"/>
  <c r="AF69" i="6" s="1"/>
  <c r="AH69" i="6" s="1"/>
  <c r="AJ69" i="6" s="1"/>
  <c r="AC28" i="6"/>
  <c r="AE28" i="6" s="1"/>
  <c r="AG28" i="6" s="1"/>
  <c r="AI28" i="6" s="1"/>
  <c r="AC68" i="6"/>
  <c r="AE68" i="6" s="1"/>
  <c r="AG68" i="6" s="1"/>
  <c r="AI68" i="6" s="1"/>
  <c r="AB29" i="6"/>
  <c r="AD29" i="6" s="1"/>
  <c r="AF29" i="6" s="1"/>
  <c r="AH29" i="6" s="1"/>
  <c r="AJ29" i="6" s="1"/>
  <c r="AB67" i="6"/>
  <c r="AD67" i="6" s="1"/>
  <c r="AF67" i="6" s="1"/>
  <c r="AH67" i="6" s="1"/>
  <c r="AJ67" i="6" s="1"/>
  <c r="AA30" i="6"/>
  <c r="AC30" i="6" s="1"/>
  <c r="AE30" i="6" s="1"/>
  <c r="AG30" i="6" s="1"/>
  <c r="AI30" i="6" s="1"/>
  <c r="AA32" i="6"/>
  <c r="AC32" i="6" s="1"/>
  <c r="AE32" i="6" s="1"/>
  <c r="AG32" i="6" s="1"/>
  <c r="AI32" i="6" s="1"/>
  <c r="AA34" i="6"/>
  <c r="AC34" i="6" s="1"/>
  <c r="AE34" i="6" s="1"/>
  <c r="AG34" i="6" s="1"/>
  <c r="AI34" i="6" s="1"/>
  <c r="AA36" i="6"/>
  <c r="AC36" i="6" s="1"/>
  <c r="AE36" i="6" s="1"/>
  <c r="AG36" i="6" s="1"/>
  <c r="AI36" i="6" s="1"/>
  <c r="AA38" i="6"/>
  <c r="AC38" i="6" s="1"/>
  <c r="AE38" i="6" s="1"/>
  <c r="AG38" i="6" s="1"/>
  <c r="AI38" i="6" s="1"/>
  <c r="AA40" i="6"/>
  <c r="AC40" i="6" s="1"/>
  <c r="AE40" i="6" s="1"/>
  <c r="AG40" i="6" s="1"/>
  <c r="AI40" i="6" s="1"/>
  <c r="AA42" i="6"/>
  <c r="AC42" i="6" s="1"/>
  <c r="AE42" i="6" s="1"/>
  <c r="AG42" i="6" s="1"/>
  <c r="AI42" i="6" s="1"/>
  <c r="AA44" i="6"/>
  <c r="AC44" i="6" s="1"/>
  <c r="AE44" i="6" s="1"/>
  <c r="AG44" i="6" s="1"/>
  <c r="AI44" i="6" s="1"/>
  <c r="AA46" i="6"/>
  <c r="AC46" i="6" s="1"/>
  <c r="AE46" i="6" s="1"/>
  <c r="AG46" i="6" s="1"/>
  <c r="AI46" i="6" s="1"/>
  <c r="AA48" i="6"/>
  <c r="AC48" i="6" s="1"/>
  <c r="AE48" i="6" s="1"/>
  <c r="AG48" i="6" s="1"/>
  <c r="AI48" i="6" s="1"/>
  <c r="AA50" i="6"/>
  <c r="AC50" i="6" s="1"/>
  <c r="AE50" i="6" s="1"/>
  <c r="AG50" i="6" s="1"/>
  <c r="AI50" i="6" s="1"/>
  <c r="AA52" i="6"/>
  <c r="AC52" i="6" s="1"/>
  <c r="AE52" i="6" s="1"/>
  <c r="AG52" i="6" s="1"/>
  <c r="AI52" i="6" s="1"/>
  <c r="AA54" i="6"/>
  <c r="AC54" i="6" s="1"/>
  <c r="AE54" i="6" s="1"/>
  <c r="AG54" i="6" s="1"/>
  <c r="AI54" i="6" s="1"/>
  <c r="AA56" i="6"/>
  <c r="AC56" i="6" s="1"/>
  <c r="AE56" i="6" s="1"/>
  <c r="AG56" i="6" s="1"/>
  <c r="AI56" i="6" s="1"/>
  <c r="AA58" i="6"/>
  <c r="AC58" i="6" s="1"/>
  <c r="AE58" i="6" s="1"/>
  <c r="AG58" i="6" s="1"/>
  <c r="AI58" i="6" s="1"/>
  <c r="AA60" i="6"/>
  <c r="AC60" i="6" s="1"/>
  <c r="AE60" i="6" s="1"/>
  <c r="AG60" i="6" s="1"/>
  <c r="AI60" i="6" s="1"/>
  <c r="AA62" i="6"/>
  <c r="AC62" i="6" s="1"/>
  <c r="AE62" i="6" s="1"/>
  <c r="AG62" i="6" s="1"/>
  <c r="AI62" i="6" s="1"/>
  <c r="AA64" i="6"/>
  <c r="AC64" i="6" s="1"/>
  <c r="AE64" i="6" s="1"/>
  <c r="AG64" i="6" s="1"/>
  <c r="AI64" i="6" s="1"/>
  <c r="AA66" i="6"/>
  <c r="AC66" i="6" s="1"/>
  <c r="AE66" i="6" s="1"/>
  <c r="AG66" i="6" s="1"/>
  <c r="AI66" i="6" s="1"/>
  <c r="Z33" i="6"/>
  <c r="AB33" i="6" s="1"/>
  <c r="AD33" i="6" s="1"/>
  <c r="AF33" i="6" s="1"/>
  <c r="AH33" i="6" s="1"/>
  <c r="AJ33" i="6" s="1"/>
  <c r="Z35" i="6"/>
  <c r="AB35" i="6" s="1"/>
  <c r="AD35" i="6" s="1"/>
  <c r="AF35" i="6" s="1"/>
  <c r="AH35" i="6" s="1"/>
  <c r="AJ35" i="6" s="1"/>
  <c r="Z37" i="6"/>
  <c r="AB37" i="6" s="1"/>
  <c r="AD37" i="6" s="1"/>
  <c r="AF37" i="6" s="1"/>
  <c r="AH37" i="6" s="1"/>
  <c r="AJ37" i="6" s="1"/>
  <c r="Z39" i="6"/>
  <c r="AB39" i="6" s="1"/>
  <c r="AD39" i="6" s="1"/>
  <c r="AF39" i="6" s="1"/>
  <c r="AH39" i="6" s="1"/>
  <c r="AJ39" i="6" s="1"/>
  <c r="Z41" i="6"/>
  <c r="AB41" i="6" s="1"/>
  <c r="AD41" i="6" s="1"/>
  <c r="AF41" i="6" s="1"/>
  <c r="AH41" i="6" s="1"/>
  <c r="AJ41" i="6" s="1"/>
  <c r="Z43" i="6"/>
  <c r="AB43" i="6" s="1"/>
  <c r="AD43" i="6" s="1"/>
  <c r="AF43" i="6" s="1"/>
  <c r="AH43" i="6" s="1"/>
  <c r="AJ43" i="6" s="1"/>
  <c r="Z45" i="6"/>
  <c r="AB45" i="6" s="1"/>
  <c r="AD45" i="6" s="1"/>
  <c r="AF45" i="6" s="1"/>
  <c r="AH45" i="6" s="1"/>
  <c r="AJ45" i="6" s="1"/>
  <c r="Z47" i="6"/>
  <c r="AB47" i="6" s="1"/>
  <c r="AD47" i="6" s="1"/>
  <c r="AF47" i="6" s="1"/>
  <c r="AH47" i="6" s="1"/>
  <c r="AJ47" i="6" s="1"/>
  <c r="Z49" i="6"/>
  <c r="AB49" i="6" s="1"/>
  <c r="AD49" i="6" s="1"/>
  <c r="AF49" i="6" s="1"/>
  <c r="AH49" i="6" s="1"/>
  <c r="AJ49" i="6" s="1"/>
  <c r="Z51" i="6"/>
  <c r="AB51" i="6" s="1"/>
  <c r="AD51" i="6" s="1"/>
  <c r="AF51" i="6" s="1"/>
  <c r="AH51" i="6" s="1"/>
  <c r="AJ51" i="6" s="1"/>
  <c r="Z53" i="6"/>
  <c r="AB53" i="6" s="1"/>
  <c r="AD53" i="6" s="1"/>
  <c r="AF53" i="6" s="1"/>
  <c r="AH53" i="6" s="1"/>
  <c r="AJ53" i="6" s="1"/>
  <c r="Z55" i="6"/>
  <c r="AB55" i="6" s="1"/>
  <c r="AD55" i="6" s="1"/>
  <c r="AF55" i="6" s="1"/>
  <c r="AH55" i="6" s="1"/>
  <c r="AJ55" i="6" s="1"/>
  <c r="Z57" i="6"/>
  <c r="AB57" i="6" s="1"/>
  <c r="AD57" i="6" s="1"/>
  <c r="AF57" i="6" s="1"/>
  <c r="AH57" i="6" s="1"/>
  <c r="AJ57" i="6" s="1"/>
  <c r="Z59" i="6"/>
  <c r="AB59" i="6" s="1"/>
  <c r="AD59" i="6" s="1"/>
  <c r="AF59" i="6" s="1"/>
  <c r="AH59" i="6" s="1"/>
  <c r="AJ59" i="6" s="1"/>
  <c r="Z61" i="6"/>
  <c r="AB61" i="6" s="1"/>
  <c r="AD61" i="6" s="1"/>
  <c r="AF61" i="6" s="1"/>
  <c r="AH61" i="6" s="1"/>
  <c r="AJ61" i="6" s="1"/>
  <c r="Z63" i="6"/>
  <c r="AB63" i="6" s="1"/>
  <c r="AD63" i="6" s="1"/>
  <c r="AF63" i="6" s="1"/>
  <c r="AH63" i="6" s="1"/>
  <c r="AJ63" i="6" s="1"/>
  <c r="Z65" i="6"/>
  <c r="AB65" i="6" s="1"/>
  <c r="AD65" i="6" s="1"/>
  <c r="AF65" i="6" s="1"/>
  <c r="AH65" i="6" s="1"/>
  <c r="AJ65" i="6" s="1"/>
  <c r="Z31" i="6"/>
  <c r="AB31" i="6" s="1"/>
  <c r="AD31" i="6" s="1"/>
  <c r="AF31" i="6" s="1"/>
  <c r="AH31" i="6" s="1"/>
  <c r="AJ31" i="6" s="1"/>
  <c r="F48" i="6"/>
  <c r="H3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H2" i="6"/>
  <c r="H1" i="6"/>
  <c r="R11" i="5"/>
  <c r="G1" i="5"/>
  <c r="F1" i="5"/>
  <c r="Q11" i="5"/>
  <c r="Q12" i="5" s="1"/>
  <c r="M9" i="5"/>
  <c r="A5" i="5"/>
  <c r="A6" i="5" s="1"/>
  <c r="E1" i="5"/>
  <c r="D1" i="5"/>
  <c r="C1" i="5"/>
  <c r="B1" i="5"/>
  <c r="I17" i="1"/>
  <c r="I15" i="1"/>
  <c r="D12" i="1"/>
  <c r="D8" i="1"/>
  <c r="I12" i="1"/>
  <c r="I10" i="1"/>
  <c r="I11" i="1" s="1"/>
  <c r="D10" i="1"/>
  <c r="D11" i="1" s="1"/>
  <c r="I8" i="1"/>
  <c r="I6" i="1"/>
  <c r="I4" i="1"/>
  <c r="I7" i="1" s="1"/>
  <c r="D7" i="1"/>
  <c r="D4" i="1"/>
  <c r="D6" i="1"/>
  <c r="B36" i="4" l="1"/>
  <c r="J36" i="9"/>
  <c r="G29" i="9"/>
  <c r="H36" i="9"/>
  <c r="H48" i="9"/>
  <c r="I45" i="9"/>
  <c r="K48" i="9"/>
  <c r="I47" i="9"/>
  <c r="B17" i="9"/>
  <c r="D16" i="9"/>
  <c r="E16" i="9" s="1"/>
  <c r="B5" i="9"/>
  <c r="D5" i="9" s="1"/>
  <c r="E5" i="9" s="1"/>
  <c r="F4" i="9"/>
  <c r="AI138" i="7"/>
  <c r="AI136" i="7"/>
  <c r="AH137" i="7" s="1"/>
  <c r="AI134" i="7"/>
  <c r="AH135" i="7" s="1"/>
  <c r="AG136" i="7" s="1"/>
  <c r="AI132" i="7"/>
  <c r="AH133" i="7" s="1"/>
  <c r="AG134" i="7" s="1"/>
  <c r="AF135" i="7" s="1"/>
  <c r="AI130" i="7"/>
  <c r="AH131" i="7" s="1"/>
  <c r="AG132" i="7" s="1"/>
  <c r="AF133" i="7" s="1"/>
  <c r="AE134" i="7" s="1"/>
  <c r="AI128" i="7"/>
  <c r="AH129" i="7" s="1"/>
  <c r="AG130" i="7" s="1"/>
  <c r="AF131" i="7" s="1"/>
  <c r="AE132" i="7" s="1"/>
  <c r="AD133" i="7" s="1"/>
  <c r="AI126" i="7"/>
  <c r="AH127" i="7" s="1"/>
  <c r="AG128" i="7" s="1"/>
  <c r="AF129" i="7" s="1"/>
  <c r="AE130" i="7" s="1"/>
  <c r="AD131" i="7" s="1"/>
  <c r="AC132" i="7" s="1"/>
  <c r="AI124" i="7"/>
  <c r="AH125" i="7" s="1"/>
  <c r="AG126" i="7" s="1"/>
  <c r="AF127" i="7" s="1"/>
  <c r="AE128" i="7" s="1"/>
  <c r="AD129" i="7" s="1"/>
  <c r="AC130" i="7" s="1"/>
  <c r="AB131" i="7" s="1"/>
  <c r="AI122" i="7"/>
  <c r="AH123" i="7" s="1"/>
  <c r="AG124" i="7" s="1"/>
  <c r="AF125" i="7" s="1"/>
  <c r="AE126" i="7" s="1"/>
  <c r="AD127" i="7" s="1"/>
  <c r="AC128" i="7" s="1"/>
  <c r="AB129" i="7" s="1"/>
  <c r="AA130" i="7" s="1"/>
  <c r="AI102" i="7"/>
  <c r="AH103" i="7" s="1"/>
  <c r="AG104" i="7" s="1"/>
  <c r="AF105" i="7" s="1"/>
  <c r="AE106" i="7" s="1"/>
  <c r="AD107" i="7" s="1"/>
  <c r="AC108" i="7" s="1"/>
  <c r="AB109" i="7" s="1"/>
  <c r="AA110" i="7" s="1"/>
  <c r="Z111" i="7" s="1"/>
  <c r="Y112" i="7" s="1"/>
  <c r="X113" i="7" s="1"/>
  <c r="W114" i="7" s="1"/>
  <c r="V115" i="7" s="1"/>
  <c r="U116" i="7" s="1"/>
  <c r="T117" i="7" s="1"/>
  <c r="S118" i="7" s="1"/>
  <c r="R119" i="7" s="1"/>
  <c r="Q120" i="7" s="1"/>
  <c r="AI92" i="7"/>
  <c r="AH93" i="7" s="1"/>
  <c r="AG94" i="7" s="1"/>
  <c r="AF95" i="7" s="1"/>
  <c r="AE96" i="7" s="1"/>
  <c r="AD97" i="7" s="1"/>
  <c r="AC98" i="7" s="1"/>
  <c r="AB99" i="7" s="1"/>
  <c r="AA100" i="7" s="1"/>
  <c r="Z101" i="7" s="1"/>
  <c r="Y102" i="7" s="1"/>
  <c r="X103" i="7" s="1"/>
  <c r="W104" i="7" s="1"/>
  <c r="V105" i="7" s="1"/>
  <c r="U106" i="7" s="1"/>
  <c r="T107" i="7" s="1"/>
  <c r="S108" i="7" s="1"/>
  <c r="R109" i="7" s="1"/>
  <c r="Q110" i="7" s="1"/>
  <c r="P111" i="7" s="1"/>
  <c r="O112" i="7" s="1"/>
  <c r="N113" i="7" s="1"/>
  <c r="M114" i="7" s="1"/>
  <c r="L115" i="7" s="1"/>
  <c r="AI88" i="7"/>
  <c r="AH89" i="7" s="1"/>
  <c r="AG90" i="7" s="1"/>
  <c r="AF91" i="7" s="1"/>
  <c r="AE92" i="7" s="1"/>
  <c r="AD93" i="7" s="1"/>
  <c r="AC94" i="7" s="1"/>
  <c r="AB95" i="7" s="1"/>
  <c r="AA96" i="7" s="1"/>
  <c r="Z97" i="7" s="1"/>
  <c r="Y98" i="7" s="1"/>
  <c r="X99" i="7" s="1"/>
  <c r="W100" i="7" s="1"/>
  <c r="V101" i="7" s="1"/>
  <c r="U102" i="7" s="1"/>
  <c r="T103" i="7" s="1"/>
  <c r="S104" i="7" s="1"/>
  <c r="R105" i="7" s="1"/>
  <c r="Q106" i="7" s="1"/>
  <c r="P107" i="7" s="1"/>
  <c r="O108" i="7" s="1"/>
  <c r="N109" i="7" s="1"/>
  <c r="M110" i="7" s="1"/>
  <c r="L111" i="7" s="1"/>
  <c r="K112" i="7" s="1"/>
  <c r="J113" i="7" s="1"/>
  <c r="AI120" i="7"/>
  <c r="AH121" i="7" s="1"/>
  <c r="AG122" i="7" s="1"/>
  <c r="AF123" i="7" s="1"/>
  <c r="AE124" i="7" s="1"/>
  <c r="AD125" i="7" s="1"/>
  <c r="AC126" i="7" s="1"/>
  <c r="AB127" i="7" s="1"/>
  <c r="AA128" i="7" s="1"/>
  <c r="Z129" i="7" s="1"/>
  <c r="AI118" i="7"/>
  <c r="AH119" i="7" s="1"/>
  <c r="AG120" i="7" s="1"/>
  <c r="AF121" i="7" s="1"/>
  <c r="AE122" i="7" s="1"/>
  <c r="AD123" i="7" s="1"/>
  <c r="AC124" i="7" s="1"/>
  <c r="AB125" i="7" s="1"/>
  <c r="AA126" i="7" s="1"/>
  <c r="Z127" i="7" s="1"/>
  <c r="Y128" i="7" s="1"/>
  <c r="AI116" i="7"/>
  <c r="AH117" i="7" s="1"/>
  <c r="AG118" i="7" s="1"/>
  <c r="AF119" i="7" s="1"/>
  <c r="AE120" i="7" s="1"/>
  <c r="AD121" i="7" s="1"/>
  <c r="AC122" i="7" s="1"/>
  <c r="AB123" i="7" s="1"/>
  <c r="AA124" i="7" s="1"/>
  <c r="Z125" i="7" s="1"/>
  <c r="Y126" i="7" s="1"/>
  <c r="X127" i="7" s="1"/>
  <c r="AI114" i="7"/>
  <c r="AH115" i="7" s="1"/>
  <c r="AG116" i="7" s="1"/>
  <c r="AF117" i="7" s="1"/>
  <c r="AE118" i="7" s="1"/>
  <c r="AD119" i="7" s="1"/>
  <c r="AC120" i="7" s="1"/>
  <c r="AB121" i="7" s="1"/>
  <c r="AA122" i="7" s="1"/>
  <c r="Z123" i="7" s="1"/>
  <c r="Y124" i="7" s="1"/>
  <c r="X125" i="7" s="1"/>
  <c r="W126" i="7" s="1"/>
  <c r="AI112" i="7"/>
  <c r="AH113" i="7" s="1"/>
  <c r="AG114" i="7" s="1"/>
  <c r="AF115" i="7" s="1"/>
  <c r="AE116" i="7" s="1"/>
  <c r="AD117" i="7" s="1"/>
  <c r="AC118" i="7" s="1"/>
  <c r="AB119" i="7" s="1"/>
  <c r="AA120" i="7" s="1"/>
  <c r="Z121" i="7" s="1"/>
  <c r="Y122" i="7" s="1"/>
  <c r="X123" i="7" s="1"/>
  <c r="W124" i="7" s="1"/>
  <c r="V125" i="7" s="1"/>
  <c r="AI110" i="7"/>
  <c r="AH111" i="7" s="1"/>
  <c r="AG112" i="7" s="1"/>
  <c r="AF113" i="7" s="1"/>
  <c r="AE114" i="7" s="1"/>
  <c r="AD115" i="7" s="1"/>
  <c r="AC116" i="7" s="1"/>
  <c r="AB117" i="7" s="1"/>
  <c r="AA118" i="7" s="1"/>
  <c r="Z119" i="7" s="1"/>
  <c r="Y120" i="7" s="1"/>
  <c r="X121" i="7" s="1"/>
  <c r="W122" i="7" s="1"/>
  <c r="V123" i="7" s="1"/>
  <c r="U124" i="7" s="1"/>
  <c r="AI108" i="7"/>
  <c r="AH109" i="7" s="1"/>
  <c r="AG110" i="7" s="1"/>
  <c r="AF111" i="7" s="1"/>
  <c r="AE112" i="7" s="1"/>
  <c r="AD113" i="7" s="1"/>
  <c r="AC114" i="7" s="1"/>
  <c r="AB115" i="7" s="1"/>
  <c r="AA116" i="7" s="1"/>
  <c r="Z117" i="7" s="1"/>
  <c r="Y118" i="7" s="1"/>
  <c r="X119" i="7" s="1"/>
  <c r="W120" i="7" s="1"/>
  <c r="V121" i="7" s="1"/>
  <c r="U122" i="7" s="1"/>
  <c r="T123" i="7" s="1"/>
  <c r="AI106" i="7"/>
  <c r="AH107" i="7" s="1"/>
  <c r="AG108" i="7" s="1"/>
  <c r="AF109" i="7" s="1"/>
  <c r="AE110" i="7" s="1"/>
  <c r="AD111" i="7" s="1"/>
  <c r="AC112" i="7" s="1"/>
  <c r="AB113" i="7" s="1"/>
  <c r="AA114" i="7" s="1"/>
  <c r="Z115" i="7" s="1"/>
  <c r="Y116" i="7" s="1"/>
  <c r="X117" i="7" s="1"/>
  <c r="W118" i="7" s="1"/>
  <c r="V119" i="7" s="1"/>
  <c r="U120" i="7" s="1"/>
  <c r="T121" i="7" s="1"/>
  <c r="S122" i="7" s="1"/>
  <c r="AI104" i="7"/>
  <c r="AH105" i="7" s="1"/>
  <c r="AG106" i="7" s="1"/>
  <c r="AF107" i="7" s="1"/>
  <c r="AE108" i="7" s="1"/>
  <c r="AD109" i="7" s="1"/>
  <c r="AC110" i="7" s="1"/>
  <c r="AB111" i="7" s="1"/>
  <c r="AA112" i="7" s="1"/>
  <c r="Z113" i="7" s="1"/>
  <c r="Y114" i="7" s="1"/>
  <c r="X115" i="7" s="1"/>
  <c r="W116" i="7" s="1"/>
  <c r="V117" i="7" s="1"/>
  <c r="U118" i="7" s="1"/>
  <c r="T119" i="7" s="1"/>
  <c r="S120" i="7" s="1"/>
  <c r="R121" i="7" s="1"/>
  <c r="AI100" i="7"/>
  <c r="AH101" i="7" s="1"/>
  <c r="AG102" i="7" s="1"/>
  <c r="AF103" i="7" s="1"/>
  <c r="AE104" i="7" s="1"/>
  <c r="AD105" i="7" s="1"/>
  <c r="AC106" i="7" s="1"/>
  <c r="AB107" i="7" s="1"/>
  <c r="AA108" i="7" s="1"/>
  <c r="Z109" i="7" s="1"/>
  <c r="Y110" i="7" s="1"/>
  <c r="X111" i="7" s="1"/>
  <c r="W112" i="7" s="1"/>
  <c r="V113" i="7" s="1"/>
  <c r="U114" i="7" s="1"/>
  <c r="T115" i="7" s="1"/>
  <c r="S116" i="7" s="1"/>
  <c r="R117" i="7" s="1"/>
  <c r="Q118" i="7" s="1"/>
  <c r="P119" i="7" s="1"/>
  <c r="AI86" i="7"/>
  <c r="AH87" i="7" s="1"/>
  <c r="AG88" i="7" s="1"/>
  <c r="AF89" i="7" s="1"/>
  <c r="AE90" i="7" s="1"/>
  <c r="AD91" i="7" s="1"/>
  <c r="AC92" i="7" s="1"/>
  <c r="AB93" i="7" s="1"/>
  <c r="AA94" i="7" s="1"/>
  <c r="Z95" i="7" s="1"/>
  <c r="Y96" i="7" s="1"/>
  <c r="X97" i="7" s="1"/>
  <c r="W98" i="7" s="1"/>
  <c r="V99" i="7" s="1"/>
  <c r="U100" i="7" s="1"/>
  <c r="T101" i="7" s="1"/>
  <c r="S102" i="7" s="1"/>
  <c r="R103" i="7" s="1"/>
  <c r="Q104" i="7" s="1"/>
  <c r="P105" i="7" s="1"/>
  <c r="O106" i="7" s="1"/>
  <c r="N107" i="7" s="1"/>
  <c r="M108" i="7" s="1"/>
  <c r="L109" i="7" s="1"/>
  <c r="K110" i="7" s="1"/>
  <c r="J111" i="7" s="1"/>
  <c r="I112" i="7" s="1"/>
  <c r="AI98" i="7"/>
  <c r="AH99" i="7" s="1"/>
  <c r="AG100" i="7" s="1"/>
  <c r="AF101" i="7" s="1"/>
  <c r="AE102" i="7" s="1"/>
  <c r="AD103" i="7" s="1"/>
  <c r="AC104" i="7" s="1"/>
  <c r="AB105" i="7" s="1"/>
  <c r="AA106" i="7" s="1"/>
  <c r="Z107" i="7" s="1"/>
  <c r="Y108" i="7" s="1"/>
  <c r="X109" i="7" s="1"/>
  <c r="W110" i="7" s="1"/>
  <c r="V111" i="7" s="1"/>
  <c r="U112" i="7" s="1"/>
  <c r="T113" i="7" s="1"/>
  <c r="S114" i="7" s="1"/>
  <c r="R115" i="7" s="1"/>
  <c r="Q116" i="7" s="1"/>
  <c r="P117" i="7" s="1"/>
  <c r="O118" i="7" s="1"/>
  <c r="AI96" i="7"/>
  <c r="AH97" i="7" s="1"/>
  <c r="AG98" i="7" s="1"/>
  <c r="AF99" i="7" s="1"/>
  <c r="AE100" i="7" s="1"/>
  <c r="AD101" i="7" s="1"/>
  <c r="AC102" i="7" s="1"/>
  <c r="AB103" i="7" s="1"/>
  <c r="AA104" i="7" s="1"/>
  <c r="Z105" i="7" s="1"/>
  <c r="Y106" i="7" s="1"/>
  <c r="X107" i="7" s="1"/>
  <c r="W108" i="7" s="1"/>
  <c r="V109" i="7" s="1"/>
  <c r="U110" i="7" s="1"/>
  <c r="T111" i="7" s="1"/>
  <c r="S112" i="7" s="1"/>
  <c r="R113" i="7" s="1"/>
  <c r="Q114" i="7" s="1"/>
  <c r="P115" i="7" s="1"/>
  <c r="O116" i="7" s="1"/>
  <c r="N117" i="7" s="1"/>
  <c r="AI94" i="7"/>
  <c r="AH95" i="7" s="1"/>
  <c r="AG96" i="7" s="1"/>
  <c r="AF97" i="7" s="1"/>
  <c r="AE98" i="7" s="1"/>
  <c r="AD99" i="7" s="1"/>
  <c r="AC100" i="7" s="1"/>
  <c r="AB101" i="7" s="1"/>
  <c r="AA102" i="7" s="1"/>
  <c r="Z103" i="7" s="1"/>
  <c r="Y104" i="7" s="1"/>
  <c r="X105" i="7" s="1"/>
  <c r="W106" i="7" s="1"/>
  <c r="V107" i="7" s="1"/>
  <c r="U108" i="7" s="1"/>
  <c r="T109" i="7" s="1"/>
  <c r="S110" i="7" s="1"/>
  <c r="R111" i="7" s="1"/>
  <c r="Q112" i="7" s="1"/>
  <c r="P113" i="7" s="1"/>
  <c r="O114" i="7" s="1"/>
  <c r="N115" i="7" s="1"/>
  <c r="M116" i="7" s="1"/>
  <c r="AI90" i="7"/>
  <c r="AH91" i="7" s="1"/>
  <c r="AG92" i="7" s="1"/>
  <c r="AF93" i="7" s="1"/>
  <c r="AE94" i="7" s="1"/>
  <c r="AD95" i="7" s="1"/>
  <c r="AC96" i="7" s="1"/>
  <c r="AB97" i="7" s="1"/>
  <c r="AA98" i="7" s="1"/>
  <c r="Z99" i="7" s="1"/>
  <c r="Y100" i="7" s="1"/>
  <c r="X101" i="7" s="1"/>
  <c r="W102" i="7" s="1"/>
  <c r="V103" i="7" s="1"/>
  <c r="U104" i="7" s="1"/>
  <c r="T105" i="7" s="1"/>
  <c r="S106" i="7" s="1"/>
  <c r="R107" i="7" s="1"/>
  <c r="Q108" i="7" s="1"/>
  <c r="P109" i="7" s="1"/>
  <c r="O110" i="7" s="1"/>
  <c r="N111" i="7" s="1"/>
  <c r="M112" i="7" s="1"/>
  <c r="L113" i="7" s="1"/>
  <c r="K114" i="7" s="1"/>
  <c r="AI84" i="7"/>
  <c r="AH85" i="7" s="1"/>
  <c r="AG86" i="7" s="1"/>
  <c r="AF87" i="7" s="1"/>
  <c r="AE88" i="7" s="1"/>
  <c r="AD89" i="7" s="1"/>
  <c r="AC90" i="7" s="1"/>
  <c r="AB91" i="7" s="1"/>
  <c r="AA92" i="7" s="1"/>
  <c r="Z93" i="7" s="1"/>
  <c r="Y94" i="7" s="1"/>
  <c r="X95" i="7" s="1"/>
  <c r="W96" i="7" s="1"/>
  <c r="V97" i="7" s="1"/>
  <c r="U98" i="7" s="1"/>
  <c r="T99" i="7" s="1"/>
  <c r="S100" i="7" s="1"/>
  <c r="R101" i="7" s="1"/>
  <c r="Q102" i="7" s="1"/>
  <c r="P103" i="7" s="1"/>
  <c r="O104" i="7" s="1"/>
  <c r="N105" i="7" s="1"/>
  <c r="M106" i="7" s="1"/>
  <c r="L107" i="7" s="1"/>
  <c r="K108" i="7" s="1"/>
  <c r="J109" i="7" s="1"/>
  <c r="I110" i="7" s="1"/>
  <c r="H111" i="7" s="1"/>
  <c r="AO84" i="7"/>
  <c r="AQ84" i="7"/>
  <c r="AO94" i="7"/>
  <c r="AQ94" i="7"/>
  <c r="AP96" i="7"/>
  <c r="AM96" i="7"/>
  <c r="AQ100" i="7"/>
  <c r="AO100" i="7"/>
  <c r="AP102" i="7"/>
  <c r="AM102" i="7"/>
  <c r="AM104" i="7"/>
  <c r="AP104" i="7"/>
  <c r="AO108" i="7"/>
  <c r="AQ108" i="7" s="1"/>
  <c r="AM110" i="7"/>
  <c r="AP110" i="7" s="1"/>
  <c r="AO110" i="7"/>
  <c r="AQ110" i="7"/>
  <c r="AO120" i="7"/>
  <c r="AQ120" i="7"/>
  <c r="AP126" i="7"/>
  <c r="AM126" i="7"/>
  <c r="AQ136" i="7"/>
  <c r="AO136" i="7"/>
  <c r="AP140" i="7"/>
  <c r="AM140" i="7"/>
  <c r="H48" i="7"/>
  <c r="J48" i="7" s="1"/>
  <c r="L48" i="7" s="1"/>
  <c r="N48" i="7" s="1"/>
  <c r="P48" i="7" s="1"/>
  <c r="R48" i="7" s="1"/>
  <c r="T48" i="7" s="1"/>
  <c r="V48" i="7" s="1"/>
  <c r="X48" i="7" s="1"/>
  <c r="Z48" i="7" s="1"/>
  <c r="AB48" i="7" s="1"/>
  <c r="AD48" i="7" s="1"/>
  <c r="AF48" i="7" s="1"/>
  <c r="AH48" i="7" s="1"/>
  <c r="AJ48" i="7" s="1"/>
  <c r="G79" i="7"/>
  <c r="H79" i="7" s="1"/>
  <c r="I79" i="7" s="1"/>
  <c r="J79" i="7" s="1"/>
  <c r="K79" i="7" s="1"/>
  <c r="L79" i="7" s="1"/>
  <c r="M79" i="7" s="1"/>
  <c r="N79" i="7" s="1"/>
  <c r="O79" i="7" s="1"/>
  <c r="P79" i="7" s="1"/>
  <c r="Q79" i="7" s="1"/>
  <c r="R79" i="7" s="1"/>
  <c r="S79" i="7" s="1"/>
  <c r="T79" i="7" s="1"/>
  <c r="U79" i="7" s="1"/>
  <c r="V79" i="7" s="1"/>
  <c r="W79" i="7" s="1"/>
  <c r="X79" i="7" s="1"/>
  <c r="Y79" i="7" s="1"/>
  <c r="Z79" i="7" s="1"/>
  <c r="AA79" i="7" s="1"/>
  <c r="AB79" i="7" s="1"/>
  <c r="AC79" i="7" s="1"/>
  <c r="AD79" i="7" s="1"/>
  <c r="AE79" i="7" s="1"/>
  <c r="AF79" i="7" s="1"/>
  <c r="AG79" i="7" s="1"/>
  <c r="AH79" i="7" s="1"/>
  <c r="AI79" i="7" s="1"/>
  <c r="AJ79" i="7" s="1"/>
  <c r="G17" i="7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H4" i="7"/>
  <c r="B31" i="4"/>
  <c r="B28" i="4"/>
  <c r="M14" i="5"/>
  <c r="H48" i="6"/>
  <c r="H4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4" i="5"/>
  <c r="R12" i="5"/>
  <c r="F5" i="5"/>
  <c r="F4" i="5"/>
  <c r="F6" i="5"/>
  <c r="O11" i="5"/>
  <c r="M11" i="5"/>
  <c r="M12" i="5" s="1"/>
  <c r="B6" i="5"/>
  <c r="P11" i="5"/>
  <c r="N11" i="5"/>
  <c r="A7" i="5"/>
  <c r="F7" i="5" s="1"/>
  <c r="N30" i="9" l="1"/>
  <c r="I36" i="9"/>
  <c r="I48" i="9"/>
  <c r="D17" i="9"/>
  <c r="E17" i="9" s="1"/>
  <c r="F19" i="9"/>
  <c r="B18" i="9"/>
  <c r="G4" i="9"/>
  <c r="H4" i="9" s="1"/>
  <c r="I4" i="9"/>
  <c r="F5" i="9"/>
  <c r="B6" i="9"/>
  <c r="D6" i="9" s="1"/>
  <c r="E6" i="9" s="1"/>
  <c r="H5" i="7"/>
  <c r="G47" i="7"/>
  <c r="J48" i="6"/>
  <c r="H5" i="6"/>
  <c r="G47" i="6"/>
  <c r="O12" i="5"/>
  <c r="P12" i="5"/>
  <c r="P13" i="5"/>
  <c r="N12" i="5"/>
  <c r="D5" i="5"/>
  <c r="D4" i="5"/>
  <c r="D6" i="5"/>
  <c r="E5" i="5"/>
  <c r="E4" i="5"/>
  <c r="E6" i="5"/>
  <c r="B7" i="5"/>
  <c r="A8" i="5"/>
  <c r="F8" i="5" s="1"/>
  <c r="D7" i="5"/>
  <c r="E7" i="5"/>
  <c r="B5" i="5"/>
  <c r="B4" i="5"/>
  <c r="D18" i="9" l="1"/>
  <c r="E18" i="9" s="1"/>
  <c r="B19" i="9"/>
  <c r="G5" i="9"/>
  <c r="H5" i="9" s="1"/>
  <c r="I5" i="9"/>
  <c r="F6" i="9"/>
  <c r="B7" i="9"/>
  <c r="D7" i="9" s="1"/>
  <c r="E7" i="9" s="1"/>
  <c r="G49" i="7"/>
  <c r="H6" i="7"/>
  <c r="I47" i="7"/>
  <c r="K47" i="7" s="1"/>
  <c r="M47" i="7" s="1"/>
  <c r="O47" i="7" s="1"/>
  <c r="Q47" i="7" s="1"/>
  <c r="S47" i="7" s="1"/>
  <c r="U47" i="7" s="1"/>
  <c r="W47" i="7" s="1"/>
  <c r="Y47" i="7" s="1"/>
  <c r="AA47" i="7" s="1"/>
  <c r="AC47" i="7" s="1"/>
  <c r="AE47" i="7" s="1"/>
  <c r="AG47" i="7" s="1"/>
  <c r="AI47" i="7" s="1"/>
  <c r="H46" i="7"/>
  <c r="L48" i="6"/>
  <c r="H6" i="6"/>
  <c r="G49" i="6"/>
  <c r="I47" i="6"/>
  <c r="H46" i="6"/>
  <c r="C6" i="5"/>
  <c r="H6" i="5" s="1"/>
  <c r="C4" i="5"/>
  <c r="H4" i="5" s="1"/>
  <c r="C7" i="5"/>
  <c r="H7" i="5" s="1"/>
  <c r="C5" i="5"/>
  <c r="H5" i="5" s="1"/>
  <c r="D8" i="5"/>
  <c r="B8" i="5"/>
  <c r="E8" i="5"/>
  <c r="A9" i="5"/>
  <c r="F9" i="5" s="1"/>
  <c r="C8" i="5"/>
  <c r="I6" i="9" l="1"/>
  <c r="G6" i="9"/>
  <c r="H6" i="9" s="1"/>
  <c r="D19" i="9"/>
  <c r="E19" i="9" s="1"/>
  <c r="I19" i="9" s="1"/>
  <c r="B20" i="9"/>
  <c r="F7" i="9"/>
  <c r="B8" i="9"/>
  <c r="D8" i="9" s="1"/>
  <c r="E8" i="9" s="1"/>
  <c r="H50" i="7"/>
  <c r="I49" i="7"/>
  <c r="K49" i="7" s="1"/>
  <c r="M49" i="7" s="1"/>
  <c r="O49" i="7" s="1"/>
  <c r="Q49" i="7" s="1"/>
  <c r="S49" i="7" s="1"/>
  <c r="U49" i="7" s="1"/>
  <c r="W49" i="7" s="1"/>
  <c r="Y49" i="7" s="1"/>
  <c r="AA49" i="7" s="1"/>
  <c r="AC49" i="7" s="1"/>
  <c r="AE49" i="7" s="1"/>
  <c r="AG49" i="7" s="1"/>
  <c r="AI49" i="7" s="1"/>
  <c r="J46" i="7"/>
  <c r="L46" i="7" s="1"/>
  <c r="N46" i="7" s="1"/>
  <c r="P46" i="7" s="1"/>
  <c r="R46" i="7" s="1"/>
  <c r="T46" i="7" s="1"/>
  <c r="V46" i="7" s="1"/>
  <c r="X46" i="7" s="1"/>
  <c r="Z46" i="7" s="1"/>
  <c r="AB46" i="7" s="1"/>
  <c r="AD46" i="7" s="1"/>
  <c r="AF46" i="7" s="1"/>
  <c r="AH46" i="7" s="1"/>
  <c r="AJ46" i="7" s="1"/>
  <c r="AI109" i="7" s="1"/>
  <c r="I45" i="7"/>
  <c r="N48" i="6"/>
  <c r="P48" i="6" s="1"/>
  <c r="R48" i="6" s="1"/>
  <c r="T48" i="6" s="1"/>
  <c r="V48" i="6" s="1"/>
  <c r="X48" i="6" s="1"/>
  <c r="Z48" i="6" s="1"/>
  <c r="AB48" i="6" s="1"/>
  <c r="AD48" i="6" s="1"/>
  <c r="AF48" i="6" s="1"/>
  <c r="AH48" i="6" s="1"/>
  <c r="AJ48" i="6" s="1"/>
  <c r="H50" i="6"/>
  <c r="I49" i="6"/>
  <c r="K47" i="6"/>
  <c r="J46" i="6"/>
  <c r="I45" i="6"/>
  <c r="H8" i="5"/>
  <c r="B9" i="5"/>
  <c r="C9" i="5"/>
  <c r="E9" i="5"/>
  <c r="D9" i="5"/>
  <c r="A10" i="5"/>
  <c r="F10" i="5" s="1"/>
  <c r="G19" i="9" l="1"/>
  <c r="H19" i="9" s="1"/>
  <c r="D20" i="9"/>
  <c r="E20" i="9" s="1"/>
  <c r="B21" i="9"/>
  <c r="G7" i="9"/>
  <c r="H7" i="9" s="1"/>
  <c r="I7" i="9"/>
  <c r="F8" i="9"/>
  <c r="B9" i="9"/>
  <c r="D9" i="9" s="1"/>
  <c r="E9" i="9" s="1"/>
  <c r="J50" i="7"/>
  <c r="L50" i="7" s="1"/>
  <c r="N50" i="7" s="1"/>
  <c r="P50" i="7" s="1"/>
  <c r="R50" i="7" s="1"/>
  <c r="T50" i="7" s="1"/>
  <c r="V50" i="7" s="1"/>
  <c r="X50" i="7" s="1"/>
  <c r="Z50" i="7" s="1"/>
  <c r="AB50" i="7" s="1"/>
  <c r="AD50" i="7" s="1"/>
  <c r="AF50" i="7" s="1"/>
  <c r="AH50" i="7" s="1"/>
  <c r="AJ50" i="7" s="1"/>
  <c r="I51" i="7"/>
  <c r="K45" i="7"/>
  <c r="M45" i="7" s="1"/>
  <c r="O45" i="7" s="1"/>
  <c r="Q45" i="7" s="1"/>
  <c r="S45" i="7" s="1"/>
  <c r="U45" i="7" s="1"/>
  <c r="W45" i="7" s="1"/>
  <c r="Y45" i="7" s="1"/>
  <c r="AA45" i="7" s="1"/>
  <c r="AC45" i="7" s="1"/>
  <c r="AE45" i="7" s="1"/>
  <c r="AG45" i="7" s="1"/>
  <c r="AI45" i="7" s="1"/>
  <c r="J44" i="7"/>
  <c r="M47" i="6"/>
  <c r="O47" i="6" s="1"/>
  <c r="Q47" i="6" s="1"/>
  <c r="S47" i="6" s="1"/>
  <c r="U47" i="6" s="1"/>
  <c r="W47" i="6" s="1"/>
  <c r="Y47" i="6" s="1"/>
  <c r="AA47" i="6" s="1"/>
  <c r="AC47" i="6" s="1"/>
  <c r="AE47" i="6" s="1"/>
  <c r="AG47" i="6" s="1"/>
  <c r="AI47" i="6" s="1"/>
  <c r="J50" i="6"/>
  <c r="I51" i="6"/>
  <c r="K49" i="6"/>
  <c r="L46" i="6"/>
  <c r="K45" i="6"/>
  <c r="J44" i="6"/>
  <c r="H9" i="5"/>
  <c r="E10" i="5"/>
  <c r="B10" i="5"/>
  <c r="D10" i="5"/>
  <c r="A11" i="5"/>
  <c r="F11" i="5" s="1"/>
  <c r="C10" i="5"/>
  <c r="I8" i="9" l="1"/>
  <c r="G8" i="9"/>
  <c r="H8" i="9" s="1"/>
  <c r="D21" i="9"/>
  <c r="E21" i="9" s="1"/>
  <c r="F21" i="9"/>
  <c r="B22" i="9"/>
  <c r="F9" i="9"/>
  <c r="B10" i="9"/>
  <c r="D10" i="9" s="1"/>
  <c r="E10" i="9" s="1"/>
  <c r="AI111" i="7"/>
  <c r="K51" i="7"/>
  <c r="M51" i="7" s="1"/>
  <c r="O51" i="7" s="1"/>
  <c r="Q51" i="7" s="1"/>
  <c r="S51" i="7" s="1"/>
  <c r="U51" i="7" s="1"/>
  <c r="W51" i="7" s="1"/>
  <c r="Y51" i="7" s="1"/>
  <c r="AA51" i="7" s="1"/>
  <c r="AC51" i="7" s="1"/>
  <c r="AE51" i="7" s="1"/>
  <c r="AG51" i="7" s="1"/>
  <c r="AI51" i="7" s="1"/>
  <c r="J52" i="7"/>
  <c r="L44" i="7"/>
  <c r="N44" i="7" s="1"/>
  <c r="P44" i="7" s="1"/>
  <c r="R44" i="7" s="1"/>
  <c r="T44" i="7" s="1"/>
  <c r="V44" i="7" s="1"/>
  <c r="X44" i="7" s="1"/>
  <c r="Z44" i="7" s="1"/>
  <c r="AB44" i="7" s="1"/>
  <c r="AD44" i="7" s="1"/>
  <c r="AF44" i="7" s="1"/>
  <c r="AH44" i="7" s="1"/>
  <c r="AJ44" i="7" s="1"/>
  <c r="AI107" i="7" s="1"/>
  <c r="AH108" i="7" s="1"/>
  <c r="K43" i="7"/>
  <c r="M49" i="6"/>
  <c r="O49" i="6" s="1"/>
  <c r="Q49" i="6" s="1"/>
  <c r="S49" i="6" s="1"/>
  <c r="U49" i="6" s="1"/>
  <c r="W49" i="6" s="1"/>
  <c r="Y49" i="6" s="1"/>
  <c r="AA49" i="6" s="1"/>
  <c r="AC49" i="6" s="1"/>
  <c r="AE49" i="6" s="1"/>
  <c r="AG49" i="6" s="1"/>
  <c r="AI49" i="6" s="1"/>
  <c r="M45" i="6"/>
  <c r="O45" i="6" s="1"/>
  <c r="Q45" i="6" s="1"/>
  <c r="S45" i="6" s="1"/>
  <c r="U45" i="6" s="1"/>
  <c r="W45" i="6" s="1"/>
  <c r="Y45" i="6" s="1"/>
  <c r="AA45" i="6" s="1"/>
  <c r="AC45" i="6" s="1"/>
  <c r="AE45" i="6" s="1"/>
  <c r="AG45" i="6" s="1"/>
  <c r="AI45" i="6" s="1"/>
  <c r="N46" i="6"/>
  <c r="P46" i="6" s="1"/>
  <c r="R46" i="6" s="1"/>
  <c r="T46" i="6" s="1"/>
  <c r="V46" i="6" s="1"/>
  <c r="X46" i="6" s="1"/>
  <c r="Z46" i="6" s="1"/>
  <c r="AB46" i="6" s="1"/>
  <c r="AD46" i="6" s="1"/>
  <c r="AF46" i="6" s="1"/>
  <c r="AH46" i="6" s="1"/>
  <c r="AJ46" i="6" s="1"/>
  <c r="L50" i="6"/>
  <c r="K51" i="6"/>
  <c r="J52" i="6"/>
  <c r="L44" i="6"/>
  <c r="K43" i="6"/>
  <c r="H10" i="5"/>
  <c r="E11" i="5"/>
  <c r="D11" i="5"/>
  <c r="B11" i="5"/>
  <c r="A12" i="5"/>
  <c r="F12" i="5" s="1"/>
  <c r="C11" i="5"/>
  <c r="I21" i="9" l="1"/>
  <c r="G21" i="9"/>
  <c r="H21" i="9" s="1"/>
  <c r="D22" i="9"/>
  <c r="E22" i="9" s="1"/>
  <c r="B23" i="9"/>
  <c r="G9" i="9"/>
  <c r="H9" i="9" s="1"/>
  <c r="I9" i="9"/>
  <c r="F10" i="9"/>
  <c r="B11" i="9"/>
  <c r="AH110" i="7"/>
  <c r="L52" i="7"/>
  <c r="N52" i="7" s="1"/>
  <c r="P52" i="7" s="1"/>
  <c r="R52" i="7" s="1"/>
  <c r="T52" i="7" s="1"/>
  <c r="V52" i="7" s="1"/>
  <c r="X52" i="7" s="1"/>
  <c r="Z52" i="7" s="1"/>
  <c r="AB52" i="7" s="1"/>
  <c r="AD52" i="7" s="1"/>
  <c r="AF52" i="7" s="1"/>
  <c r="AH52" i="7" s="1"/>
  <c r="AJ52" i="7" s="1"/>
  <c r="K53" i="7"/>
  <c r="M43" i="7"/>
  <c r="O43" i="7" s="1"/>
  <c r="Q43" i="7" s="1"/>
  <c r="S43" i="7" s="1"/>
  <c r="U43" i="7" s="1"/>
  <c r="W43" i="7" s="1"/>
  <c r="Y43" i="7" s="1"/>
  <c r="AA43" i="7" s="1"/>
  <c r="AC43" i="7" s="1"/>
  <c r="AE43" i="7" s="1"/>
  <c r="AG43" i="7" s="1"/>
  <c r="AI43" i="7" s="1"/>
  <c r="L42" i="7"/>
  <c r="M51" i="6"/>
  <c r="O51" i="6" s="1"/>
  <c r="Q51" i="6" s="1"/>
  <c r="S51" i="6" s="1"/>
  <c r="U51" i="6" s="1"/>
  <c r="W51" i="6" s="1"/>
  <c r="Y51" i="6" s="1"/>
  <c r="AA51" i="6" s="1"/>
  <c r="AC51" i="6" s="1"/>
  <c r="AE51" i="6" s="1"/>
  <c r="AG51" i="6" s="1"/>
  <c r="AI51" i="6" s="1"/>
  <c r="M43" i="6"/>
  <c r="O43" i="6" s="1"/>
  <c r="Q43" i="6" s="1"/>
  <c r="S43" i="6" s="1"/>
  <c r="U43" i="6" s="1"/>
  <c r="W43" i="6" s="1"/>
  <c r="Y43" i="6" s="1"/>
  <c r="AA43" i="6" s="1"/>
  <c r="AC43" i="6" s="1"/>
  <c r="AE43" i="6" s="1"/>
  <c r="AG43" i="6" s="1"/>
  <c r="AI43" i="6" s="1"/>
  <c r="N50" i="6"/>
  <c r="P50" i="6" s="1"/>
  <c r="R50" i="6" s="1"/>
  <c r="T50" i="6" s="1"/>
  <c r="V50" i="6" s="1"/>
  <c r="X50" i="6" s="1"/>
  <c r="Z50" i="6" s="1"/>
  <c r="AB50" i="6" s="1"/>
  <c r="AD50" i="6" s="1"/>
  <c r="AF50" i="6" s="1"/>
  <c r="AH50" i="6" s="1"/>
  <c r="AJ50" i="6" s="1"/>
  <c r="N44" i="6"/>
  <c r="P44" i="6" s="1"/>
  <c r="R44" i="6" s="1"/>
  <c r="T44" i="6" s="1"/>
  <c r="V44" i="6" s="1"/>
  <c r="X44" i="6" s="1"/>
  <c r="Z44" i="6" s="1"/>
  <c r="AB44" i="6" s="1"/>
  <c r="AD44" i="6" s="1"/>
  <c r="AF44" i="6" s="1"/>
  <c r="AH44" i="6" s="1"/>
  <c r="AJ44" i="6" s="1"/>
  <c r="L52" i="6"/>
  <c r="K53" i="6"/>
  <c r="L42" i="6"/>
  <c r="H11" i="5"/>
  <c r="C12" i="5"/>
  <c r="D12" i="5"/>
  <c r="B12" i="5"/>
  <c r="A13" i="5"/>
  <c r="F13" i="5" s="1"/>
  <c r="E12" i="5"/>
  <c r="D23" i="9" l="1"/>
  <c r="E23" i="9" s="1"/>
  <c r="I23" i="9" s="1"/>
  <c r="I24" i="9" s="1"/>
  <c r="F23" i="9"/>
  <c r="G10" i="9"/>
  <c r="H10" i="9" s="1"/>
  <c r="I10" i="9"/>
  <c r="F11" i="9"/>
  <c r="D11" i="9"/>
  <c r="E11" i="9" s="1"/>
  <c r="AG109" i="7"/>
  <c r="AI113" i="7"/>
  <c r="M53" i="7"/>
  <c r="O53" i="7" s="1"/>
  <c r="Q53" i="7" s="1"/>
  <c r="S53" i="7" s="1"/>
  <c r="U53" i="7" s="1"/>
  <c r="W53" i="7" s="1"/>
  <c r="Y53" i="7" s="1"/>
  <c r="AA53" i="7" s="1"/>
  <c r="AC53" i="7" s="1"/>
  <c r="AE53" i="7" s="1"/>
  <c r="AG53" i="7" s="1"/>
  <c r="AI53" i="7" s="1"/>
  <c r="L54" i="7"/>
  <c r="N42" i="7"/>
  <c r="P42" i="7" s="1"/>
  <c r="R42" i="7" s="1"/>
  <c r="T42" i="7" s="1"/>
  <c r="V42" i="7" s="1"/>
  <c r="X42" i="7" s="1"/>
  <c r="Z42" i="7" s="1"/>
  <c r="AB42" i="7" s="1"/>
  <c r="AD42" i="7" s="1"/>
  <c r="AF42" i="7" s="1"/>
  <c r="AH42" i="7" s="1"/>
  <c r="AJ42" i="7" s="1"/>
  <c r="AI105" i="7" s="1"/>
  <c r="AH106" i="7" s="1"/>
  <c r="AG107" i="7" s="1"/>
  <c r="AF108" i="7" s="1"/>
  <c r="M41" i="7"/>
  <c r="M53" i="6"/>
  <c r="O53" i="6" s="1"/>
  <c r="Q53" i="6" s="1"/>
  <c r="S53" i="6" s="1"/>
  <c r="U53" i="6" s="1"/>
  <c r="W53" i="6" s="1"/>
  <c r="Y53" i="6" s="1"/>
  <c r="AA53" i="6" s="1"/>
  <c r="AC53" i="6" s="1"/>
  <c r="AE53" i="6" s="1"/>
  <c r="AG53" i="6" s="1"/>
  <c r="AI53" i="6" s="1"/>
  <c r="N52" i="6"/>
  <c r="P52" i="6" s="1"/>
  <c r="R52" i="6" s="1"/>
  <c r="T52" i="6" s="1"/>
  <c r="V52" i="6" s="1"/>
  <c r="X52" i="6" s="1"/>
  <c r="Z52" i="6" s="1"/>
  <c r="AB52" i="6" s="1"/>
  <c r="AD52" i="6" s="1"/>
  <c r="AF52" i="6" s="1"/>
  <c r="AH52" i="6" s="1"/>
  <c r="AJ52" i="6" s="1"/>
  <c r="N42" i="6"/>
  <c r="P42" i="6" s="1"/>
  <c r="R42" i="6" s="1"/>
  <c r="T42" i="6" s="1"/>
  <c r="V42" i="6" s="1"/>
  <c r="X42" i="6" s="1"/>
  <c r="Z42" i="6" s="1"/>
  <c r="AB42" i="6" s="1"/>
  <c r="AD42" i="6" s="1"/>
  <c r="AF42" i="6" s="1"/>
  <c r="AH42" i="6" s="1"/>
  <c r="AJ42" i="6" s="1"/>
  <c r="M41" i="6"/>
  <c r="L54" i="6"/>
  <c r="H12" i="5"/>
  <c r="B13" i="5"/>
  <c r="C13" i="5"/>
  <c r="D13" i="5"/>
  <c r="E13" i="5"/>
  <c r="A14" i="5"/>
  <c r="F14" i="5" s="1"/>
  <c r="G11" i="9" l="1"/>
  <c r="H11" i="9" s="1"/>
  <c r="H12" i="9" s="1"/>
  <c r="G23" i="9"/>
  <c r="H23" i="9" s="1"/>
  <c r="H24" i="9" s="1"/>
  <c r="M17" i="9" s="1"/>
  <c r="I11" i="9"/>
  <c r="I12" i="9" s="1"/>
  <c r="L4" i="9" s="1"/>
  <c r="AH112" i="7"/>
  <c r="N54" i="7"/>
  <c r="P54" i="7" s="1"/>
  <c r="R54" i="7" s="1"/>
  <c r="T54" i="7" s="1"/>
  <c r="V54" i="7" s="1"/>
  <c r="X54" i="7" s="1"/>
  <c r="Z54" i="7" s="1"/>
  <c r="AB54" i="7" s="1"/>
  <c r="AD54" i="7" s="1"/>
  <c r="AF54" i="7" s="1"/>
  <c r="AH54" i="7" s="1"/>
  <c r="AJ54" i="7" s="1"/>
  <c r="M55" i="7"/>
  <c r="O41" i="7"/>
  <c r="Q41" i="7" s="1"/>
  <c r="S41" i="7" s="1"/>
  <c r="U41" i="7" s="1"/>
  <c r="W41" i="7" s="1"/>
  <c r="Y41" i="7" s="1"/>
  <c r="AA41" i="7" s="1"/>
  <c r="AC41" i="7" s="1"/>
  <c r="AE41" i="7" s="1"/>
  <c r="AG41" i="7" s="1"/>
  <c r="AI41" i="7" s="1"/>
  <c r="N40" i="7"/>
  <c r="N40" i="6"/>
  <c r="O41" i="6"/>
  <c r="Q41" i="6" s="1"/>
  <c r="S41" i="6" s="1"/>
  <c r="U41" i="6" s="1"/>
  <c r="W41" i="6" s="1"/>
  <c r="Y41" i="6" s="1"/>
  <c r="AA41" i="6" s="1"/>
  <c r="AC41" i="6" s="1"/>
  <c r="AE41" i="6" s="1"/>
  <c r="AG41" i="6" s="1"/>
  <c r="AI41" i="6" s="1"/>
  <c r="N54" i="6"/>
  <c r="P54" i="6" s="1"/>
  <c r="R54" i="6" s="1"/>
  <c r="T54" i="6" s="1"/>
  <c r="V54" i="6" s="1"/>
  <c r="X54" i="6" s="1"/>
  <c r="Z54" i="6" s="1"/>
  <c r="AB54" i="6" s="1"/>
  <c r="AD54" i="6" s="1"/>
  <c r="AF54" i="6" s="1"/>
  <c r="AH54" i="6" s="1"/>
  <c r="AJ54" i="6" s="1"/>
  <c r="M55" i="6"/>
  <c r="H13" i="5"/>
  <c r="B14" i="5"/>
  <c r="C14" i="5"/>
  <c r="D14" i="5"/>
  <c r="E14" i="5"/>
  <c r="A15" i="5"/>
  <c r="F15" i="5" s="1"/>
  <c r="L3" i="9" l="1"/>
  <c r="AG111" i="7"/>
  <c r="AI115" i="7"/>
  <c r="O55" i="7"/>
  <c r="Q55" i="7" s="1"/>
  <c r="S55" i="7" s="1"/>
  <c r="U55" i="7" s="1"/>
  <c r="W55" i="7" s="1"/>
  <c r="Y55" i="7" s="1"/>
  <c r="AA55" i="7" s="1"/>
  <c r="AC55" i="7" s="1"/>
  <c r="AE55" i="7" s="1"/>
  <c r="AG55" i="7" s="1"/>
  <c r="AI55" i="7" s="1"/>
  <c r="N56" i="7"/>
  <c r="P40" i="7"/>
  <c r="R40" i="7" s="1"/>
  <c r="T40" i="7" s="1"/>
  <c r="V40" i="7" s="1"/>
  <c r="X40" i="7" s="1"/>
  <c r="Z40" i="7" s="1"/>
  <c r="AB40" i="7" s="1"/>
  <c r="AD40" i="7" s="1"/>
  <c r="AF40" i="7" s="1"/>
  <c r="AH40" i="7" s="1"/>
  <c r="AJ40" i="7" s="1"/>
  <c r="AI103" i="7" s="1"/>
  <c r="AH104" i="7" s="1"/>
  <c r="AG105" i="7" s="1"/>
  <c r="AF106" i="7" s="1"/>
  <c r="AE107" i="7" s="1"/>
  <c r="O39" i="7"/>
  <c r="O39" i="6"/>
  <c r="P40" i="6"/>
  <c r="R40" i="6" s="1"/>
  <c r="T40" i="6" s="1"/>
  <c r="V40" i="6" s="1"/>
  <c r="X40" i="6" s="1"/>
  <c r="Z40" i="6" s="1"/>
  <c r="AB40" i="6" s="1"/>
  <c r="AD40" i="6" s="1"/>
  <c r="AF40" i="6" s="1"/>
  <c r="AH40" i="6" s="1"/>
  <c r="AJ40" i="6" s="1"/>
  <c r="N56" i="6"/>
  <c r="O55" i="6"/>
  <c r="Q55" i="6" s="1"/>
  <c r="S55" i="6" s="1"/>
  <c r="U55" i="6" s="1"/>
  <c r="W55" i="6" s="1"/>
  <c r="Y55" i="6" s="1"/>
  <c r="AA55" i="6" s="1"/>
  <c r="AC55" i="6" s="1"/>
  <c r="AE55" i="6" s="1"/>
  <c r="AG55" i="6" s="1"/>
  <c r="AI55" i="6" s="1"/>
  <c r="H14" i="5"/>
  <c r="B15" i="5"/>
  <c r="C15" i="5"/>
  <c r="D15" i="5"/>
  <c r="E15" i="5"/>
  <c r="A16" i="5"/>
  <c r="F16" i="5" s="1"/>
  <c r="AF110" i="7" l="1"/>
  <c r="AH114" i="7"/>
  <c r="P56" i="7"/>
  <c r="R56" i="7" s="1"/>
  <c r="T56" i="7" s="1"/>
  <c r="V56" i="7" s="1"/>
  <c r="X56" i="7" s="1"/>
  <c r="Z56" i="7" s="1"/>
  <c r="AB56" i="7" s="1"/>
  <c r="AD56" i="7" s="1"/>
  <c r="AF56" i="7" s="1"/>
  <c r="AH56" i="7" s="1"/>
  <c r="AJ56" i="7" s="1"/>
  <c r="O57" i="7"/>
  <c r="Q39" i="7"/>
  <c r="S39" i="7" s="1"/>
  <c r="U39" i="7" s="1"/>
  <c r="W39" i="7" s="1"/>
  <c r="Y39" i="7" s="1"/>
  <c r="AA39" i="7" s="1"/>
  <c r="AC39" i="7" s="1"/>
  <c r="AE39" i="7" s="1"/>
  <c r="AG39" i="7" s="1"/>
  <c r="AI39" i="7" s="1"/>
  <c r="P38" i="7"/>
  <c r="Q39" i="6"/>
  <c r="S39" i="6" s="1"/>
  <c r="U39" i="6" s="1"/>
  <c r="W39" i="6" s="1"/>
  <c r="Y39" i="6" s="1"/>
  <c r="AA39" i="6" s="1"/>
  <c r="AC39" i="6" s="1"/>
  <c r="AE39" i="6" s="1"/>
  <c r="AG39" i="6" s="1"/>
  <c r="AI39" i="6" s="1"/>
  <c r="P38" i="6"/>
  <c r="O57" i="6"/>
  <c r="P56" i="6"/>
  <c r="R56" i="6" s="1"/>
  <c r="T56" i="6" s="1"/>
  <c r="V56" i="6" s="1"/>
  <c r="X56" i="6" s="1"/>
  <c r="Z56" i="6" s="1"/>
  <c r="AB56" i="6" s="1"/>
  <c r="AD56" i="6" s="1"/>
  <c r="AF56" i="6" s="1"/>
  <c r="AH56" i="6" s="1"/>
  <c r="AJ56" i="6" s="1"/>
  <c r="H15" i="5"/>
  <c r="B16" i="5"/>
  <c r="C16" i="5"/>
  <c r="D16" i="5"/>
  <c r="E16" i="5"/>
  <c r="A17" i="5"/>
  <c r="F17" i="5" s="1"/>
  <c r="AE109" i="7" l="1"/>
  <c r="AG113" i="7"/>
  <c r="AI117" i="7"/>
  <c r="P58" i="7"/>
  <c r="Q57" i="7"/>
  <c r="S57" i="7" s="1"/>
  <c r="U57" i="7" s="1"/>
  <c r="W57" i="7" s="1"/>
  <c r="Y57" i="7" s="1"/>
  <c r="AA57" i="7" s="1"/>
  <c r="AC57" i="7" s="1"/>
  <c r="AE57" i="7" s="1"/>
  <c r="AG57" i="7" s="1"/>
  <c r="AI57" i="7" s="1"/>
  <c r="R38" i="7"/>
  <c r="T38" i="7" s="1"/>
  <c r="V38" i="7" s="1"/>
  <c r="X38" i="7" s="1"/>
  <c r="Z38" i="7" s="1"/>
  <c r="AB38" i="7" s="1"/>
  <c r="AD38" i="7" s="1"/>
  <c r="AF38" i="7" s="1"/>
  <c r="AH38" i="7" s="1"/>
  <c r="AJ38" i="7" s="1"/>
  <c r="AI101" i="7" s="1"/>
  <c r="AH102" i="7" s="1"/>
  <c r="AG103" i="7" s="1"/>
  <c r="AF104" i="7" s="1"/>
  <c r="AE105" i="7" s="1"/>
  <c r="AD106" i="7" s="1"/>
  <c r="Q37" i="7"/>
  <c r="Q37" i="6"/>
  <c r="R38" i="6"/>
  <c r="T38" i="6" s="1"/>
  <c r="V38" i="6" s="1"/>
  <c r="X38" i="6" s="1"/>
  <c r="Z38" i="6" s="1"/>
  <c r="AB38" i="6" s="1"/>
  <c r="AD38" i="6" s="1"/>
  <c r="AF38" i="6" s="1"/>
  <c r="AH38" i="6" s="1"/>
  <c r="AJ38" i="6" s="1"/>
  <c r="P58" i="6"/>
  <c r="Q57" i="6"/>
  <c r="S57" i="6" s="1"/>
  <c r="U57" i="6" s="1"/>
  <c r="W57" i="6" s="1"/>
  <c r="Y57" i="6" s="1"/>
  <c r="AA57" i="6" s="1"/>
  <c r="AC57" i="6" s="1"/>
  <c r="AE57" i="6" s="1"/>
  <c r="AG57" i="6" s="1"/>
  <c r="AI57" i="6" s="1"/>
  <c r="H16" i="5"/>
  <c r="B17" i="5"/>
  <c r="C17" i="5"/>
  <c r="D17" i="5"/>
  <c r="E17" i="5"/>
  <c r="A18" i="5"/>
  <c r="F18" i="5" s="1"/>
  <c r="AD108" i="7" l="1"/>
  <c r="AF112" i="7"/>
  <c r="AH116" i="7"/>
  <c r="R58" i="7"/>
  <c r="T58" i="7" s="1"/>
  <c r="V58" i="7" s="1"/>
  <c r="X58" i="7" s="1"/>
  <c r="Z58" i="7" s="1"/>
  <c r="AB58" i="7" s="1"/>
  <c r="AD58" i="7" s="1"/>
  <c r="AF58" i="7" s="1"/>
  <c r="AH58" i="7" s="1"/>
  <c r="AJ58" i="7" s="1"/>
  <c r="Q59" i="7"/>
  <c r="S37" i="7"/>
  <c r="U37" i="7" s="1"/>
  <c r="W37" i="7" s="1"/>
  <c r="Y37" i="7" s="1"/>
  <c r="AA37" i="7" s="1"/>
  <c r="AC37" i="7" s="1"/>
  <c r="AE37" i="7" s="1"/>
  <c r="AG37" i="7" s="1"/>
  <c r="AI37" i="7" s="1"/>
  <c r="R36" i="7"/>
  <c r="R36" i="6"/>
  <c r="S37" i="6"/>
  <c r="U37" i="6" s="1"/>
  <c r="W37" i="6" s="1"/>
  <c r="Y37" i="6" s="1"/>
  <c r="AA37" i="6" s="1"/>
  <c r="AC37" i="6" s="1"/>
  <c r="AE37" i="6" s="1"/>
  <c r="AG37" i="6" s="1"/>
  <c r="AI37" i="6" s="1"/>
  <c r="Q59" i="6"/>
  <c r="R58" i="6"/>
  <c r="T58" i="6" s="1"/>
  <c r="V58" i="6" s="1"/>
  <c r="X58" i="6" s="1"/>
  <c r="Z58" i="6" s="1"/>
  <c r="AB58" i="6" s="1"/>
  <c r="AD58" i="6" s="1"/>
  <c r="AF58" i="6" s="1"/>
  <c r="AH58" i="6" s="1"/>
  <c r="AJ58" i="6" s="1"/>
  <c r="H17" i="5"/>
  <c r="B18" i="5"/>
  <c r="C18" i="5"/>
  <c r="D18" i="5"/>
  <c r="E18" i="5"/>
  <c r="A19" i="5"/>
  <c r="F19" i="5" s="1"/>
  <c r="AC107" i="7" l="1"/>
  <c r="AE111" i="7"/>
  <c r="AG115" i="7"/>
  <c r="AI119" i="7"/>
  <c r="R60" i="7"/>
  <c r="S59" i="7"/>
  <c r="U59" i="7" s="1"/>
  <c r="W59" i="7" s="1"/>
  <c r="Y59" i="7" s="1"/>
  <c r="AA59" i="7" s="1"/>
  <c r="AC59" i="7" s="1"/>
  <c r="AE59" i="7" s="1"/>
  <c r="AG59" i="7" s="1"/>
  <c r="AI59" i="7" s="1"/>
  <c r="T36" i="7"/>
  <c r="V36" i="7" s="1"/>
  <c r="X36" i="7" s="1"/>
  <c r="Z36" i="7" s="1"/>
  <c r="AB36" i="7" s="1"/>
  <c r="AD36" i="7" s="1"/>
  <c r="AF36" i="7" s="1"/>
  <c r="AH36" i="7" s="1"/>
  <c r="AJ36" i="7" s="1"/>
  <c r="AI99" i="7" s="1"/>
  <c r="AH100" i="7" s="1"/>
  <c r="AG101" i="7" s="1"/>
  <c r="AF102" i="7" s="1"/>
  <c r="AE103" i="7" s="1"/>
  <c r="AD104" i="7" s="1"/>
  <c r="AC105" i="7" s="1"/>
  <c r="AB106" i="7" s="1"/>
  <c r="S35" i="7"/>
  <c r="S35" i="6"/>
  <c r="T36" i="6"/>
  <c r="V36" i="6" s="1"/>
  <c r="X36" i="6" s="1"/>
  <c r="Z36" i="6" s="1"/>
  <c r="AB36" i="6" s="1"/>
  <c r="AD36" i="6" s="1"/>
  <c r="AF36" i="6" s="1"/>
  <c r="AH36" i="6" s="1"/>
  <c r="AJ36" i="6" s="1"/>
  <c r="R60" i="6"/>
  <c r="S59" i="6"/>
  <c r="U59" i="6" s="1"/>
  <c r="W59" i="6" s="1"/>
  <c r="Y59" i="6" s="1"/>
  <c r="AA59" i="6" s="1"/>
  <c r="AC59" i="6" s="1"/>
  <c r="AE59" i="6" s="1"/>
  <c r="AG59" i="6" s="1"/>
  <c r="AI59" i="6" s="1"/>
  <c r="H18" i="5"/>
  <c r="B19" i="5"/>
  <c r="C19" i="5"/>
  <c r="D19" i="5"/>
  <c r="E19" i="5"/>
  <c r="A20" i="5"/>
  <c r="F20" i="5" s="1"/>
  <c r="AD110" i="7" l="1"/>
  <c r="AF114" i="7"/>
  <c r="AH118" i="7"/>
  <c r="T60" i="7"/>
  <c r="V60" i="7" s="1"/>
  <c r="X60" i="7" s="1"/>
  <c r="Z60" i="7" s="1"/>
  <c r="AB60" i="7" s="1"/>
  <c r="AD60" i="7" s="1"/>
  <c r="AF60" i="7" s="1"/>
  <c r="AH60" i="7" s="1"/>
  <c r="AJ60" i="7" s="1"/>
  <c r="S61" i="7"/>
  <c r="U35" i="7"/>
  <c r="W35" i="7" s="1"/>
  <c r="Y35" i="7" s="1"/>
  <c r="AA35" i="7" s="1"/>
  <c r="AC35" i="7" s="1"/>
  <c r="AE35" i="7" s="1"/>
  <c r="AG35" i="7" s="1"/>
  <c r="AI35" i="7" s="1"/>
  <c r="T34" i="7"/>
  <c r="T34" i="6"/>
  <c r="U35" i="6"/>
  <c r="W35" i="6" s="1"/>
  <c r="Y35" i="6" s="1"/>
  <c r="AA35" i="6" s="1"/>
  <c r="AC35" i="6" s="1"/>
  <c r="AE35" i="6" s="1"/>
  <c r="AG35" i="6" s="1"/>
  <c r="AI35" i="6" s="1"/>
  <c r="S61" i="6"/>
  <c r="T60" i="6"/>
  <c r="V60" i="6" s="1"/>
  <c r="X60" i="6" s="1"/>
  <c r="Z60" i="6" s="1"/>
  <c r="AB60" i="6" s="1"/>
  <c r="AD60" i="6" s="1"/>
  <c r="AF60" i="6" s="1"/>
  <c r="AH60" i="6" s="1"/>
  <c r="AJ60" i="6" s="1"/>
  <c r="H19" i="5"/>
  <c r="B20" i="5"/>
  <c r="C20" i="5"/>
  <c r="D20" i="5"/>
  <c r="E20" i="5"/>
  <c r="A21" i="5"/>
  <c r="F21" i="5" s="1"/>
  <c r="AC109" i="7" l="1"/>
  <c r="AE113" i="7"/>
  <c r="AG117" i="7"/>
  <c r="AI121" i="7"/>
  <c r="U61" i="7"/>
  <c r="W61" i="7" s="1"/>
  <c r="Y61" i="7" s="1"/>
  <c r="AA61" i="7" s="1"/>
  <c r="AC61" i="7" s="1"/>
  <c r="AE61" i="7" s="1"/>
  <c r="AG61" i="7" s="1"/>
  <c r="AI61" i="7" s="1"/>
  <c r="T62" i="7"/>
  <c r="V34" i="7"/>
  <c r="X34" i="7" s="1"/>
  <c r="Z34" i="7" s="1"/>
  <c r="AB34" i="7" s="1"/>
  <c r="AD34" i="7" s="1"/>
  <c r="AF34" i="7" s="1"/>
  <c r="AH34" i="7" s="1"/>
  <c r="AJ34" i="7" s="1"/>
  <c r="AI97" i="7" s="1"/>
  <c r="AH98" i="7" s="1"/>
  <c r="AG99" i="7" s="1"/>
  <c r="AF100" i="7" s="1"/>
  <c r="AE101" i="7" s="1"/>
  <c r="AD102" i="7" s="1"/>
  <c r="AC103" i="7" s="1"/>
  <c r="AB104" i="7" s="1"/>
  <c r="AA105" i="7" s="1"/>
  <c r="U33" i="7"/>
  <c r="U33" i="6"/>
  <c r="V34" i="6"/>
  <c r="X34" i="6" s="1"/>
  <c r="Z34" i="6" s="1"/>
  <c r="AB34" i="6" s="1"/>
  <c r="AD34" i="6" s="1"/>
  <c r="AF34" i="6" s="1"/>
  <c r="AH34" i="6" s="1"/>
  <c r="AJ34" i="6" s="1"/>
  <c r="T62" i="6"/>
  <c r="U61" i="6"/>
  <c r="W61" i="6" s="1"/>
  <c r="Y61" i="6" s="1"/>
  <c r="AA61" i="6" s="1"/>
  <c r="AC61" i="6" s="1"/>
  <c r="AE61" i="6" s="1"/>
  <c r="AG61" i="6" s="1"/>
  <c r="AI61" i="6" s="1"/>
  <c r="H20" i="5"/>
  <c r="B21" i="5"/>
  <c r="C21" i="5"/>
  <c r="D21" i="5"/>
  <c r="E21" i="5"/>
  <c r="A22" i="5"/>
  <c r="F22" i="5" s="1"/>
  <c r="AB108" i="7" l="1"/>
  <c r="AD112" i="7"/>
  <c r="AF116" i="7"/>
  <c r="AH120" i="7"/>
  <c r="V62" i="7"/>
  <c r="X62" i="7" s="1"/>
  <c r="Z62" i="7" s="1"/>
  <c r="AB62" i="7" s="1"/>
  <c r="AD62" i="7" s="1"/>
  <c r="AF62" i="7" s="1"/>
  <c r="AH62" i="7" s="1"/>
  <c r="AJ62" i="7" s="1"/>
  <c r="U63" i="7"/>
  <c r="W33" i="7"/>
  <c r="Y33" i="7" s="1"/>
  <c r="AA33" i="7" s="1"/>
  <c r="AC33" i="7" s="1"/>
  <c r="AE33" i="7" s="1"/>
  <c r="AG33" i="7" s="1"/>
  <c r="AI33" i="7" s="1"/>
  <c r="V32" i="7"/>
  <c r="V32" i="6"/>
  <c r="W33" i="6"/>
  <c r="Y33" i="6" s="1"/>
  <c r="AA33" i="6" s="1"/>
  <c r="AC33" i="6" s="1"/>
  <c r="AE33" i="6" s="1"/>
  <c r="AG33" i="6" s="1"/>
  <c r="AI33" i="6" s="1"/>
  <c r="U63" i="6"/>
  <c r="V62" i="6"/>
  <c r="X62" i="6" s="1"/>
  <c r="Z62" i="6" s="1"/>
  <c r="AB62" i="6" s="1"/>
  <c r="AD62" i="6" s="1"/>
  <c r="AF62" i="6" s="1"/>
  <c r="AH62" i="6" s="1"/>
  <c r="AJ62" i="6" s="1"/>
  <c r="H21" i="5"/>
  <c r="B22" i="5"/>
  <c r="C22" i="5"/>
  <c r="D22" i="5"/>
  <c r="E22" i="5"/>
  <c r="A23" i="5"/>
  <c r="F23" i="5" s="1"/>
  <c r="AA107" i="7" l="1"/>
  <c r="AC111" i="7"/>
  <c r="AE115" i="7"/>
  <c r="AG119" i="7"/>
  <c r="AI123" i="7"/>
  <c r="W63" i="7"/>
  <c r="Y63" i="7" s="1"/>
  <c r="AA63" i="7" s="1"/>
  <c r="AC63" i="7" s="1"/>
  <c r="AE63" i="7" s="1"/>
  <c r="AG63" i="7" s="1"/>
  <c r="AI63" i="7" s="1"/>
  <c r="V64" i="7"/>
  <c r="X32" i="7"/>
  <c r="Z32" i="7" s="1"/>
  <c r="AB32" i="7" s="1"/>
  <c r="AD32" i="7" s="1"/>
  <c r="AF32" i="7" s="1"/>
  <c r="AH32" i="7" s="1"/>
  <c r="AJ32" i="7" s="1"/>
  <c r="AI95" i="7" s="1"/>
  <c r="AH96" i="7" s="1"/>
  <c r="AG97" i="7" s="1"/>
  <c r="AF98" i="7" s="1"/>
  <c r="AE99" i="7" s="1"/>
  <c r="AD100" i="7" s="1"/>
  <c r="AC101" i="7" s="1"/>
  <c r="AB102" i="7" s="1"/>
  <c r="AA103" i="7" s="1"/>
  <c r="Z104" i="7" s="1"/>
  <c r="W31" i="7"/>
  <c r="W31" i="6"/>
  <c r="X32" i="6"/>
  <c r="Z32" i="6" s="1"/>
  <c r="AB32" i="6" s="1"/>
  <c r="AD32" i="6" s="1"/>
  <c r="AF32" i="6" s="1"/>
  <c r="AH32" i="6" s="1"/>
  <c r="AJ32" i="6" s="1"/>
  <c r="V64" i="6"/>
  <c r="W63" i="6"/>
  <c r="Y63" i="6" s="1"/>
  <c r="AA63" i="6" s="1"/>
  <c r="AC63" i="6" s="1"/>
  <c r="AE63" i="6" s="1"/>
  <c r="AG63" i="6" s="1"/>
  <c r="AI63" i="6" s="1"/>
  <c r="H22" i="5"/>
  <c r="B23" i="5"/>
  <c r="C23" i="5"/>
  <c r="D23" i="5"/>
  <c r="E23" i="5"/>
  <c r="A24" i="5"/>
  <c r="F24" i="5" s="1"/>
  <c r="Z106" i="7" l="1"/>
  <c r="AB110" i="7"/>
  <c r="AD114" i="7"/>
  <c r="AF118" i="7"/>
  <c r="AH122" i="7"/>
  <c r="X64" i="7"/>
  <c r="Z64" i="7" s="1"/>
  <c r="AB64" i="7" s="1"/>
  <c r="AD64" i="7" s="1"/>
  <c r="AF64" i="7" s="1"/>
  <c r="AH64" i="7" s="1"/>
  <c r="AJ64" i="7" s="1"/>
  <c r="W65" i="7"/>
  <c r="Y31" i="7"/>
  <c r="AA31" i="7" s="1"/>
  <c r="AC31" i="7" s="1"/>
  <c r="AE31" i="7" s="1"/>
  <c r="AG31" i="7" s="1"/>
  <c r="AI31" i="7" s="1"/>
  <c r="X30" i="7"/>
  <c r="X30" i="6"/>
  <c r="Y31" i="6"/>
  <c r="AA31" i="6" s="1"/>
  <c r="AC31" i="6" s="1"/>
  <c r="AE31" i="6" s="1"/>
  <c r="AG31" i="6" s="1"/>
  <c r="AI31" i="6" s="1"/>
  <c r="W65" i="6"/>
  <c r="X64" i="6"/>
  <c r="Z64" i="6" s="1"/>
  <c r="AB64" i="6" s="1"/>
  <c r="AD64" i="6" s="1"/>
  <c r="AF64" i="6" s="1"/>
  <c r="AH64" i="6" s="1"/>
  <c r="AJ64" i="6" s="1"/>
  <c r="H23" i="5"/>
  <c r="B24" i="5"/>
  <c r="C24" i="5"/>
  <c r="D24" i="5"/>
  <c r="E24" i="5"/>
  <c r="A25" i="5"/>
  <c r="F25" i="5" s="1"/>
  <c r="Y105" i="7" l="1"/>
  <c r="AA109" i="7"/>
  <c r="AC113" i="7"/>
  <c r="AE117" i="7"/>
  <c r="AG121" i="7"/>
  <c r="AI125" i="7"/>
  <c r="Y65" i="7"/>
  <c r="AA65" i="7" s="1"/>
  <c r="AC65" i="7" s="1"/>
  <c r="AE65" i="7" s="1"/>
  <c r="AG65" i="7" s="1"/>
  <c r="AI65" i="7" s="1"/>
  <c r="X66" i="7"/>
  <c r="Z30" i="7"/>
  <c r="AB30" i="7" s="1"/>
  <c r="AD30" i="7" s="1"/>
  <c r="AF30" i="7" s="1"/>
  <c r="AH30" i="7" s="1"/>
  <c r="AJ30" i="7" s="1"/>
  <c r="AI93" i="7" s="1"/>
  <c r="AH94" i="7" s="1"/>
  <c r="AG95" i="7" s="1"/>
  <c r="AF96" i="7" s="1"/>
  <c r="AE97" i="7" s="1"/>
  <c r="AD98" i="7" s="1"/>
  <c r="AC99" i="7" s="1"/>
  <c r="AB100" i="7" s="1"/>
  <c r="AA101" i="7" s="1"/>
  <c r="Z102" i="7" s="1"/>
  <c r="Y103" i="7" s="1"/>
  <c r="X104" i="7" s="1"/>
  <c r="Y29" i="7"/>
  <c r="Y29" i="6"/>
  <c r="Z30" i="6"/>
  <c r="AB30" i="6" s="1"/>
  <c r="AD30" i="6" s="1"/>
  <c r="AF30" i="6" s="1"/>
  <c r="AH30" i="6" s="1"/>
  <c r="AJ30" i="6" s="1"/>
  <c r="X66" i="6"/>
  <c r="Y65" i="6"/>
  <c r="AA65" i="6" s="1"/>
  <c r="AC65" i="6" s="1"/>
  <c r="AE65" i="6" s="1"/>
  <c r="AG65" i="6" s="1"/>
  <c r="AI65" i="6" s="1"/>
  <c r="H24" i="5"/>
  <c r="B25" i="5"/>
  <c r="C25" i="5"/>
  <c r="D25" i="5"/>
  <c r="E25" i="5"/>
  <c r="A26" i="5"/>
  <c r="F26" i="5" s="1"/>
  <c r="Z108" i="7" l="1"/>
  <c r="AB112" i="7"/>
  <c r="AD116" i="7"/>
  <c r="AF120" i="7"/>
  <c r="AH124" i="7"/>
  <c r="Z66" i="7"/>
  <c r="AB66" i="7" s="1"/>
  <c r="AD66" i="7" s="1"/>
  <c r="AF66" i="7" s="1"/>
  <c r="AH66" i="7" s="1"/>
  <c r="AJ66" i="7" s="1"/>
  <c r="Y67" i="7"/>
  <c r="AA29" i="7"/>
  <c r="AC29" i="7" s="1"/>
  <c r="AE29" i="7" s="1"/>
  <c r="AG29" i="7" s="1"/>
  <c r="AI29" i="7" s="1"/>
  <c r="Z28" i="7"/>
  <c r="Z28" i="6"/>
  <c r="AA29" i="6"/>
  <c r="AC29" i="6" s="1"/>
  <c r="AE29" i="6" s="1"/>
  <c r="AG29" i="6" s="1"/>
  <c r="AI29" i="6" s="1"/>
  <c r="Y67" i="6"/>
  <c r="Z66" i="6"/>
  <c r="AB66" i="6" s="1"/>
  <c r="AD66" i="6" s="1"/>
  <c r="AF66" i="6" s="1"/>
  <c r="AH66" i="6" s="1"/>
  <c r="AJ66" i="6" s="1"/>
  <c r="H25" i="5"/>
  <c r="B26" i="5"/>
  <c r="C26" i="5"/>
  <c r="D26" i="5"/>
  <c r="E26" i="5"/>
  <c r="A27" i="5"/>
  <c r="F27" i="5" s="1"/>
  <c r="Y107" i="7" l="1"/>
  <c r="AA111" i="7"/>
  <c r="AC115" i="7"/>
  <c r="AE119" i="7"/>
  <c r="AG123" i="7"/>
  <c r="AI127" i="7"/>
  <c r="AA67" i="7"/>
  <c r="AC67" i="7" s="1"/>
  <c r="AE67" i="7" s="1"/>
  <c r="AG67" i="7" s="1"/>
  <c r="AI67" i="7" s="1"/>
  <c r="Z68" i="7"/>
  <c r="AB28" i="7"/>
  <c r="AD28" i="7" s="1"/>
  <c r="AF28" i="7" s="1"/>
  <c r="AH28" i="7" s="1"/>
  <c r="AJ28" i="7" s="1"/>
  <c r="AI91" i="7" s="1"/>
  <c r="AH92" i="7" s="1"/>
  <c r="AG93" i="7" s="1"/>
  <c r="AF94" i="7" s="1"/>
  <c r="AE95" i="7" s="1"/>
  <c r="AD96" i="7" s="1"/>
  <c r="AC97" i="7" s="1"/>
  <c r="AB98" i="7" s="1"/>
  <c r="AA99" i="7" s="1"/>
  <c r="Z100" i="7" s="1"/>
  <c r="Y101" i="7" s="1"/>
  <c r="X102" i="7" s="1"/>
  <c r="W103" i="7" s="1"/>
  <c r="AA27" i="7"/>
  <c r="AA27" i="6"/>
  <c r="AB28" i="6"/>
  <c r="AD28" i="6" s="1"/>
  <c r="AF28" i="6" s="1"/>
  <c r="AH28" i="6" s="1"/>
  <c r="AJ28" i="6" s="1"/>
  <c r="Z68" i="6"/>
  <c r="AA67" i="6"/>
  <c r="AC67" i="6" s="1"/>
  <c r="AE67" i="6" s="1"/>
  <c r="AG67" i="6" s="1"/>
  <c r="AI67" i="6" s="1"/>
  <c r="H26" i="5"/>
  <c r="B27" i="5"/>
  <c r="C27" i="5"/>
  <c r="D27" i="5"/>
  <c r="E27" i="5"/>
  <c r="A28" i="5"/>
  <c r="F28" i="5" s="1"/>
  <c r="X106" i="7" l="1"/>
  <c r="Z110" i="7"/>
  <c r="AB114" i="7"/>
  <c r="AD118" i="7"/>
  <c r="AF122" i="7"/>
  <c r="AH126" i="7"/>
  <c r="AB68" i="7"/>
  <c r="AD68" i="7" s="1"/>
  <c r="AF68" i="7" s="1"/>
  <c r="AH68" i="7" s="1"/>
  <c r="AJ68" i="7" s="1"/>
  <c r="AA69" i="7"/>
  <c r="AC27" i="7"/>
  <c r="AE27" i="7" s="1"/>
  <c r="AG27" i="7" s="1"/>
  <c r="AI27" i="7" s="1"/>
  <c r="AB26" i="7"/>
  <c r="AB26" i="6"/>
  <c r="AC27" i="6"/>
  <c r="AE27" i="6" s="1"/>
  <c r="AG27" i="6" s="1"/>
  <c r="AI27" i="6" s="1"/>
  <c r="AA69" i="6"/>
  <c r="AB68" i="6"/>
  <c r="AD68" i="6" s="1"/>
  <c r="AF68" i="6" s="1"/>
  <c r="AH68" i="6" s="1"/>
  <c r="AJ68" i="6" s="1"/>
  <c r="H27" i="5"/>
  <c r="B28" i="5"/>
  <c r="C28" i="5"/>
  <c r="A29" i="5"/>
  <c r="F29" i="5" s="1"/>
  <c r="D28" i="5"/>
  <c r="E28" i="5"/>
  <c r="W105" i="7" l="1"/>
  <c r="Y109" i="7"/>
  <c r="AA113" i="7"/>
  <c r="AC117" i="7"/>
  <c r="AE121" i="7"/>
  <c r="AG125" i="7"/>
  <c r="AI129" i="7"/>
  <c r="AC69" i="7"/>
  <c r="AE69" i="7" s="1"/>
  <c r="AG69" i="7" s="1"/>
  <c r="AI69" i="7" s="1"/>
  <c r="AB70" i="7"/>
  <c r="AD26" i="7"/>
  <c r="AF26" i="7" s="1"/>
  <c r="AH26" i="7" s="1"/>
  <c r="AJ26" i="7" s="1"/>
  <c r="AI89" i="7" s="1"/>
  <c r="AH90" i="7" s="1"/>
  <c r="AG91" i="7" s="1"/>
  <c r="AF92" i="7" s="1"/>
  <c r="AE93" i="7" s="1"/>
  <c r="AD94" i="7" s="1"/>
  <c r="AC95" i="7" s="1"/>
  <c r="AB96" i="7" s="1"/>
  <c r="AA97" i="7" s="1"/>
  <c r="Z98" i="7" s="1"/>
  <c r="Y99" i="7" s="1"/>
  <c r="X100" i="7" s="1"/>
  <c r="W101" i="7" s="1"/>
  <c r="V102" i="7" s="1"/>
  <c r="AC25" i="7"/>
  <c r="AC25" i="6"/>
  <c r="AD26" i="6"/>
  <c r="AF26" i="6" s="1"/>
  <c r="AH26" i="6" s="1"/>
  <c r="AJ26" i="6" s="1"/>
  <c r="AB70" i="6"/>
  <c r="AC69" i="6"/>
  <c r="AE69" i="6" s="1"/>
  <c r="AG69" i="6" s="1"/>
  <c r="AI69" i="6" s="1"/>
  <c r="H28" i="5"/>
  <c r="B29" i="5"/>
  <c r="C29" i="5"/>
  <c r="D29" i="5"/>
  <c r="E29" i="5"/>
  <c r="A30" i="5"/>
  <c r="F30" i="5" s="1"/>
  <c r="V104" i="7" l="1"/>
  <c r="X108" i="7"/>
  <c r="Z112" i="7"/>
  <c r="AB116" i="7"/>
  <c r="AD120" i="7"/>
  <c r="AF124" i="7"/>
  <c r="AH128" i="7"/>
  <c r="AD70" i="7"/>
  <c r="AF70" i="7" s="1"/>
  <c r="AH70" i="7" s="1"/>
  <c r="AJ70" i="7" s="1"/>
  <c r="AC71" i="7"/>
  <c r="AE25" i="7"/>
  <c r="AG25" i="7" s="1"/>
  <c r="AI25" i="7" s="1"/>
  <c r="AD24" i="7"/>
  <c r="AD24" i="6"/>
  <c r="AE25" i="6"/>
  <c r="AG25" i="6" s="1"/>
  <c r="AI25" i="6" s="1"/>
  <c r="AC71" i="6"/>
  <c r="AD70" i="6"/>
  <c r="AF70" i="6" s="1"/>
  <c r="AH70" i="6" s="1"/>
  <c r="AJ70" i="6" s="1"/>
  <c r="H29" i="5"/>
  <c r="B30" i="5"/>
  <c r="C30" i="5"/>
  <c r="D30" i="5"/>
  <c r="E30" i="5"/>
  <c r="A31" i="5"/>
  <c r="F31" i="5" s="1"/>
  <c r="U103" i="7" l="1"/>
  <c r="W107" i="7"/>
  <c r="Y111" i="7"/>
  <c r="AA115" i="7"/>
  <c r="AC119" i="7"/>
  <c r="AE123" i="7"/>
  <c r="AG127" i="7"/>
  <c r="AI131" i="7"/>
  <c r="AE71" i="7"/>
  <c r="AG71" i="7" s="1"/>
  <c r="AI71" i="7" s="1"/>
  <c r="AD72" i="7"/>
  <c r="AF24" i="7"/>
  <c r="AH24" i="7" s="1"/>
  <c r="AJ24" i="7" s="1"/>
  <c r="AI87" i="7" s="1"/>
  <c r="AH88" i="7" s="1"/>
  <c r="AG89" i="7" s="1"/>
  <c r="AF90" i="7" s="1"/>
  <c r="AE91" i="7" s="1"/>
  <c r="AD92" i="7" s="1"/>
  <c r="AC93" i="7" s="1"/>
  <c r="AB94" i="7" s="1"/>
  <c r="AA95" i="7" s="1"/>
  <c r="Z96" i="7" s="1"/>
  <c r="Y97" i="7" s="1"/>
  <c r="X98" i="7" s="1"/>
  <c r="W99" i="7" s="1"/>
  <c r="V100" i="7" s="1"/>
  <c r="U101" i="7" s="1"/>
  <c r="T102" i="7" s="1"/>
  <c r="AE23" i="7"/>
  <c r="AE23" i="6"/>
  <c r="AF24" i="6"/>
  <c r="AH24" i="6" s="1"/>
  <c r="AJ24" i="6" s="1"/>
  <c r="AD72" i="6"/>
  <c r="AE71" i="6"/>
  <c r="AG71" i="6" s="1"/>
  <c r="AI71" i="6" s="1"/>
  <c r="H30" i="5"/>
  <c r="B31" i="5"/>
  <c r="C31" i="5"/>
  <c r="D31" i="5"/>
  <c r="E31" i="5"/>
  <c r="A32" i="5"/>
  <c r="F32" i="5" s="1"/>
  <c r="V106" i="7" l="1"/>
  <c r="X110" i="7"/>
  <c r="Z114" i="7"/>
  <c r="AB118" i="7"/>
  <c r="AD122" i="7"/>
  <c r="AF126" i="7"/>
  <c r="AH130" i="7"/>
  <c r="AF72" i="7"/>
  <c r="AH72" i="7" s="1"/>
  <c r="AJ72" i="7" s="1"/>
  <c r="AE73" i="7"/>
  <c r="AG23" i="7"/>
  <c r="AI23" i="7" s="1"/>
  <c r="AF22" i="7"/>
  <c r="AF22" i="6"/>
  <c r="AG23" i="6"/>
  <c r="AI23" i="6" s="1"/>
  <c r="AE73" i="6"/>
  <c r="AF72" i="6"/>
  <c r="AH72" i="6" s="1"/>
  <c r="AJ72" i="6" s="1"/>
  <c r="H31" i="5"/>
  <c r="B32" i="5"/>
  <c r="C32" i="5"/>
  <c r="D32" i="5"/>
  <c r="E32" i="5"/>
  <c r="A33" i="5"/>
  <c r="F33" i="5" s="1"/>
  <c r="U105" i="7" l="1"/>
  <c r="W109" i="7"/>
  <c r="Y113" i="7"/>
  <c r="AA117" i="7"/>
  <c r="AC121" i="7"/>
  <c r="AE125" i="7"/>
  <c r="AG129" i="7"/>
  <c r="AI133" i="7"/>
  <c r="AG73" i="7"/>
  <c r="AI73" i="7" s="1"/>
  <c r="AF74" i="7"/>
  <c r="AH22" i="7"/>
  <c r="AJ22" i="7" s="1"/>
  <c r="AI85" i="7" s="1"/>
  <c r="AH86" i="7" s="1"/>
  <c r="AG87" i="7" s="1"/>
  <c r="AF88" i="7" s="1"/>
  <c r="AE89" i="7" s="1"/>
  <c r="AD90" i="7" s="1"/>
  <c r="AC91" i="7" s="1"/>
  <c r="AB92" i="7" s="1"/>
  <c r="AA93" i="7" s="1"/>
  <c r="Z94" i="7" s="1"/>
  <c r="Y95" i="7" s="1"/>
  <c r="X96" i="7" s="1"/>
  <c r="W97" i="7" s="1"/>
  <c r="V98" i="7" s="1"/>
  <c r="U99" i="7" s="1"/>
  <c r="T100" i="7" s="1"/>
  <c r="S101" i="7" s="1"/>
  <c r="AG21" i="7"/>
  <c r="AG21" i="6"/>
  <c r="AH22" i="6"/>
  <c r="AJ22" i="6" s="1"/>
  <c r="AF74" i="6"/>
  <c r="AG73" i="6"/>
  <c r="AI73" i="6" s="1"/>
  <c r="H32" i="5"/>
  <c r="B33" i="5"/>
  <c r="C33" i="5"/>
  <c r="D33" i="5"/>
  <c r="E33" i="5"/>
  <c r="A34" i="5"/>
  <c r="F34" i="5" s="1"/>
  <c r="T104" i="7" l="1"/>
  <c r="V108" i="7"/>
  <c r="X112" i="7"/>
  <c r="Z116" i="7"/>
  <c r="AB120" i="7"/>
  <c r="AD124" i="7"/>
  <c r="AF128" i="7"/>
  <c r="AH132" i="7"/>
  <c r="AH74" i="7"/>
  <c r="AJ74" i="7" s="1"/>
  <c r="AG75" i="7"/>
  <c r="AI21" i="7"/>
  <c r="AH20" i="7"/>
  <c r="AI21" i="6"/>
  <c r="AH20" i="6"/>
  <c r="AG75" i="6"/>
  <c r="AH74" i="6"/>
  <c r="AJ74" i="6" s="1"/>
  <c r="H33" i="5"/>
  <c r="B34" i="5"/>
  <c r="C34" i="5"/>
  <c r="D34" i="5"/>
  <c r="E34" i="5"/>
  <c r="A35" i="5"/>
  <c r="F35" i="5" s="1"/>
  <c r="S103" i="7" l="1"/>
  <c r="U107" i="7"/>
  <c r="W111" i="7"/>
  <c r="Y115" i="7"/>
  <c r="AA119" i="7"/>
  <c r="AC123" i="7"/>
  <c r="AE127" i="7"/>
  <c r="AG131" i="7"/>
  <c r="AI135" i="7"/>
  <c r="AI75" i="7"/>
  <c r="AH76" i="7"/>
  <c r="AJ20" i="7"/>
  <c r="AI83" i="7" s="1"/>
  <c r="AH84" i="7" s="1"/>
  <c r="AG85" i="7" s="1"/>
  <c r="AF86" i="7" s="1"/>
  <c r="AE87" i="7" s="1"/>
  <c r="AD88" i="7" s="1"/>
  <c r="AC89" i="7" s="1"/>
  <c r="AB90" i="7" s="1"/>
  <c r="AA91" i="7" s="1"/>
  <c r="Z92" i="7" s="1"/>
  <c r="Y93" i="7" s="1"/>
  <c r="X94" i="7" s="1"/>
  <c r="W95" i="7" s="1"/>
  <c r="V96" i="7" s="1"/>
  <c r="U97" i="7" s="1"/>
  <c r="T98" i="7" s="1"/>
  <c r="S99" i="7" s="1"/>
  <c r="R100" i="7" s="1"/>
  <c r="AI19" i="7"/>
  <c r="AJ18" i="7" s="1"/>
  <c r="AI19" i="6"/>
  <c r="AJ18" i="6" s="1"/>
  <c r="AJ20" i="6"/>
  <c r="AH76" i="6"/>
  <c r="AI75" i="6"/>
  <c r="H34" i="5"/>
  <c r="B35" i="5"/>
  <c r="C35" i="5"/>
  <c r="D35" i="5"/>
  <c r="E35" i="5"/>
  <c r="A36" i="5"/>
  <c r="F36" i="5" s="1"/>
  <c r="AI81" i="7" l="1"/>
  <c r="AH82" i="7" s="1"/>
  <c r="AG83" i="7" s="1"/>
  <c r="AF84" i="7" s="1"/>
  <c r="AE85" i="7" s="1"/>
  <c r="AD86" i="7" s="1"/>
  <c r="AC87" i="7" s="1"/>
  <c r="AB88" i="7" s="1"/>
  <c r="AA89" i="7" s="1"/>
  <c r="Z90" i="7" s="1"/>
  <c r="Y91" i="7" s="1"/>
  <c r="X92" i="7" s="1"/>
  <c r="W93" i="7" s="1"/>
  <c r="V94" i="7" s="1"/>
  <c r="U95" i="7" s="1"/>
  <c r="T96" i="7" s="1"/>
  <c r="S97" i="7" s="1"/>
  <c r="R98" i="7" s="1"/>
  <c r="Q99" i="7" s="1"/>
  <c r="R102" i="7"/>
  <c r="T106" i="7"/>
  <c r="V110" i="7"/>
  <c r="X114" i="7"/>
  <c r="Z118" i="7"/>
  <c r="AB122" i="7"/>
  <c r="AD126" i="7"/>
  <c r="AF130" i="7"/>
  <c r="AH134" i="7"/>
  <c r="AJ76" i="7"/>
  <c r="AI77" i="7"/>
  <c r="AJ78" i="7" s="1"/>
  <c r="AI77" i="6"/>
  <c r="AJ78" i="6" s="1"/>
  <c r="AJ76" i="6"/>
  <c r="H35" i="5"/>
  <c r="B36" i="5"/>
  <c r="C36" i="5"/>
  <c r="D36" i="5"/>
  <c r="E36" i="5"/>
  <c r="A37" i="5"/>
  <c r="F37" i="5" s="1"/>
  <c r="Q101" i="7" l="1"/>
  <c r="S105" i="7"/>
  <c r="U109" i="7"/>
  <c r="W113" i="7"/>
  <c r="Y117" i="7"/>
  <c r="AA121" i="7"/>
  <c r="AC125" i="7"/>
  <c r="AE129" i="7"/>
  <c r="AG133" i="7"/>
  <c r="AI137" i="7"/>
  <c r="AI139" i="7"/>
  <c r="H36" i="5"/>
  <c r="B37" i="5"/>
  <c r="C37" i="5"/>
  <c r="D37" i="5"/>
  <c r="E37" i="5"/>
  <c r="A38" i="5"/>
  <c r="F38" i="5" s="1"/>
  <c r="P100" i="7" l="1"/>
  <c r="R104" i="7"/>
  <c r="T108" i="7"/>
  <c r="V112" i="7"/>
  <c r="X116" i="7"/>
  <c r="Z120" i="7"/>
  <c r="AB124" i="7"/>
  <c r="AD128" i="7"/>
  <c r="AF132" i="7"/>
  <c r="AH136" i="7"/>
  <c r="AH138" i="7"/>
  <c r="H37" i="5"/>
  <c r="B38" i="5"/>
  <c r="C38" i="5"/>
  <c r="D38" i="5"/>
  <c r="E38" i="5"/>
  <c r="A39" i="5"/>
  <c r="F39" i="5" s="1"/>
  <c r="Q103" i="7" l="1"/>
  <c r="S107" i="7"/>
  <c r="U111" i="7"/>
  <c r="W115" i="7"/>
  <c r="Y119" i="7"/>
  <c r="AA123" i="7"/>
  <c r="AC127" i="7"/>
  <c r="AE131" i="7"/>
  <c r="AG135" i="7"/>
  <c r="AG137" i="7"/>
  <c r="H38" i="5"/>
  <c r="B39" i="5"/>
  <c r="C39" i="5"/>
  <c r="D39" i="5"/>
  <c r="E39" i="5"/>
  <c r="A40" i="5"/>
  <c r="F40" i="5" s="1"/>
  <c r="P102" i="7" l="1"/>
  <c r="R106" i="7"/>
  <c r="T110" i="7"/>
  <c r="V114" i="7"/>
  <c r="X118" i="7"/>
  <c r="Z122" i="7"/>
  <c r="AB126" i="7"/>
  <c r="AD130" i="7"/>
  <c r="AF134" i="7"/>
  <c r="AF136" i="7"/>
  <c r="H39" i="5"/>
  <c r="B40" i="5"/>
  <c r="C40" i="5"/>
  <c r="D40" i="5"/>
  <c r="E40" i="5"/>
  <c r="A41" i="5"/>
  <c r="F41" i="5" s="1"/>
  <c r="O101" i="7" l="1"/>
  <c r="Q105" i="7"/>
  <c r="S109" i="7"/>
  <c r="U113" i="7"/>
  <c r="W117" i="7"/>
  <c r="Y121" i="7"/>
  <c r="AA125" i="7"/>
  <c r="AC129" i="7"/>
  <c r="AE133" i="7"/>
  <c r="AE135" i="7"/>
  <c r="H40" i="5"/>
  <c r="B41" i="5"/>
  <c r="C41" i="5"/>
  <c r="D41" i="5"/>
  <c r="E41" i="5"/>
  <c r="A42" i="5"/>
  <c r="F42" i="5" s="1"/>
  <c r="P104" i="7" l="1"/>
  <c r="R108" i="7"/>
  <c r="T112" i="7"/>
  <c r="V116" i="7"/>
  <c r="X120" i="7"/>
  <c r="Z124" i="7"/>
  <c r="AB128" i="7"/>
  <c r="AD132" i="7"/>
  <c r="AD134" i="7"/>
  <c r="H41" i="5"/>
  <c r="B42" i="5"/>
  <c r="C42" i="5"/>
  <c r="D42" i="5"/>
  <c r="E42" i="5"/>
  <c r="A43" i="5"/>
  <c r="F43" i="5" s="1"/>
  <c r="O103" i="7" l="1"/>
  <c r="Q107" i="7"/>
  <c r="S111" i="7"/>
  <c r="U115" i="7"/>
  <c r="W119" i="7"/>
  <c r="Y123" i="7"/>
  <c r="AA127" i="7"/>
  <c r="AC131" i="7"/>
  <c r="AC133" i="7"/>
  <c r="H42" i="5"/>
  <c r="B43" i="5"/>
  <c r="C43" i="5"/>
  <c r="D43" i="5"/>
  <c r="E43" i="5"/>
  <c r="A44" i="5"/>
  <c r="F44" i="5" s="1"/>
  <c r="N102" i="7" l="1"/>
  <c r="P106" i="7"/>
  <c r="R110" i="7"/>
  <c r="T114" i="7"/>
  <c r="V118" i="7"/>
  <c r="X122" i="7"/>
  <c r="Z126" i="7"/>
  <c r="AB130" i="7"/>
  <c r="AB132" i="7"/>
  <c r="H43" i="5"/>
  <c r="B44" i="5"/>
  <c r="C44" i="5"/>
  <c r="D44" i="5"/>
  <c r="E44" i="5"/>
  <c r="A45" i="5"/>
  <c r="F45" i="5" s="1"/>
  <c r="O105" i="7" l="1"/>
  <c r="Q109" i="7"/>
  <c r="S113" i="7"/>
  <c r="U117" i="7"/>
  <c r="W121" i="7"/>
  <c r="Y125" i="7"/>
  <c r="AA129" i="7"/>
  <c r="AA131" i="7"/>
  <c r="H44" i="5"/>
  <c r="B45" i="5"/>
  <c r="C45" i="5"/>
  <c r="D45" i="5"/>
  <c r="E45" i="5"/>
  <c r="A46" i="5"/>
  <c r="F46" i="5" s="1"/>
  <c r="N104" i="7" l="1"/>
  <c r="P108" i="7"/>
  <c r="R112" i="7"/>
  <c r="T116" i="7"/>
  <c r="V120" i="7"/>
  <c r="X124" i="7"/>
  <c r="Z128" i="7"/>
  <c r="Z130" i="7"/>
  <c r="H45" i="5"/>
  <c r="B46" i="5"/>
  <c r="C46" i="5"/>
  <c r="D46" i="5"/>
  <c r="E46" i="5"/>
  <c r="A47" i="5"/>
  <c r="F47" i="5" s="1"/>
  <c r="M103" i="7" l="1"/>
  <c r="O107" i="7"/>
  <c r="Q111" i="7"/>
  <c r="S115" i="7"/>
  <c r="U119" i="7"/>
  <c r="W123" i="7"/>
  <c r="Y127" i="7"/>
  <c r="Y129" i="7"/>
  <c r="H46" i="5"/>
  <c r="B47" i="5"/>
  <c r="C47" i="5"/>
  <c r="D47" i="5"/>
  <c r="E47" i="5"/>
  <c r="A48" i="5"/>
  <c r="F48" i="5" s="1"/>
  <c r="N106" i="7" l="1"/>
  <c r="P110" i="7"/>
  <c r="R114" i="7"/>
  <c r="T118" i="7"/>
  <c r="V122" i="7"/>
  <c r="X126" i="7"/>
  <c r="X128" i="7"/>
  <c r="H47" i="5"/>
  <c r="B48" i="5"/>
  <c r="C48" i="5"/>
  <c r="D48" i="5"/>
  <c r="E48" i="5"/>
  <c r="A49" i="5"/>
  <c r="F49" i="5" s="1"/>
  <c r="M105" i="7" l="1"/>
  <c r="O109" i="7"/>
  <c r="Q113" i="7"/>
  <c r="S117" i="7"/>
  <c r="U121" i="7"/>
  <c r="W125" i="7"/>
  <c r="W127" i="7"/>
  <c r="H48" i="5"/>
  <c r="B49" i="5"/>
  <c r="C49" i="5"/>
  <c r="D49" i="5"/>
  <c r="E49" i="5"/>
  <c r="A50" i="5"/>
  <c r="F50" i="5" s="1"/>
  <c r="L104" i="7" l="1"/>
  <c r="N108" i="7"/>
  <c r="P112" i="7"/>
  <c r="R116" i="7"/>
  <c r="T120" i="7"/>
  <c r="V124" i="7"/>
  <c r="V126" i="7"/>
  <c r="H49" i="5"/>
  <c r="B50" i="5"/>
  <c r="C50" i="5"/>
  <c r="D50" i="5"/>
  <c r="E50" i="5"/>
  <c r="A51" i="5"/>
  <c r="F51" i="5" s="1"/>
  <c r="M107" i="7" l="1"/>
  <c r="O111" i="7"/>
  <c r="Q115" i="7"/>
  <c r="S119" i="7"/>
  <c r="U123" i="7"/>
  <c r="U125" i="7"/>
  <c r="H50" i="5"/>
  <c r="B51" i="5"/>
  <c r="C51" i="5"/>
  <c r="D51" i="5"/>
  <c r="E51" i="5"/>
  <c r="A52" i="5"/>
  <c r="F52" i="5" s="1"/>
  <c r="L106" i="7" l="1"/>
  <c r="N110" i="7"/>
  <c r="P114" i="7"/>
  <c r="R118" i="7"/>
  <c r="T122" i="7"/>
  <c r="T124" i="7"/>
  <c r="H51" i="5"/>
  <c r="B52" i="5"/>
  <c r="C52" i="5"/>
  <c r="D52" i="5"/>
  <c r="E52" i="5"/>
  <c r="A53" i="5"/>
  <c r="F53" i="5" s="1"/>
  <c r="K105" i="7" l="1"/>
  <c r="M109" i="7"/>
  <c r="O113" i="7"/>
  <c r="Q117" i="7"/>
  <c r="S121" i="7"/>
  <c r="S123" i="7"/>
  <c r="H52" i="5"/>
  <c r="B53" i="5"/>
  <c r="C53" i="5"/>
  <c r="D53" i="5"/>
  <c r="E53" i="5"/>
  <c r="A54" i="5"/>
  <c r="F54" i="5" s="1"/>
  <c r="L108" i="7" l="1"/>
  <c r="N112" i="7"/>
  <c r="P116" i="7"/>
  <c r="R120" i="7"/>
  <c r="R122" i="7"/>
  <c r="H53" i="5"/>
  <c r="E54" i="5"/>
  <c r="B54" i="5"/>
  <c r="D54" i="5"/>
  <c r="C54" i="5"/>
  <c r="A55" i="5"/>
  <c r="F55" i="5" s="1"/>
  <c r="K107" i="7" l="1"/>
  <c r="M111" i="7"/>
  <c r="O115" i="7"/>
  <c r="Q119" i="7"/>
  <c r="Q121" i="7"/>
  <c r="H54" i="5"/>
  <c r="B55" i="5"/>
  <c r="E55" i="5"/>
  <c r="C55" i="5"/>
  <c r="D55" i="5"/>
  <c r="A56" i="5"/>
  <c r="F56" i="5" s="1"/>
  <c r="J106" i="7" l="1"/>
  <c r="L110" i="7"/>
  <c r="N114" i="7"/>
  <c r="P118" i="7"/>
  <c r="P120" i="7"/>
  <c r="H55" i="5"/>
  <c r="A57" i="5"/>
  <c r="F57" i="5" s="1"/>
  <c r="E56" i="5"/>
  <c r="D56" i="5"/>
  <c r="C56" i="5"/>
  <c r="B56" i="5"/>
  <c r="K109" i="7" l="1"/>
  <c r="M113" i="7"/>
  <c r="O117" i="7"/>
  <c r="O119" i="7"/>
  <c r="H56" i="5"/>
  <c r="C57" i="5"/>
  <c r="D57" i="5"/>
  <c r="B57" i="5"/>
  <c r="A58" i="5"/>
  <c r="F58" i="5" s="1"/>
  <c r="E57" i="5"/>
  <c r="J108" i="7" l="1"/>
  <c r="L112" i="7"/>
  <c r="N116" i="7"/>
  <c r="N118" i="7"/>
  <c r="H57" i="5"/>
  <c r="D58" i="5"/>
  <c r="A59" i="5"/>
  <c r="F59" i="5" s="1"/>
  <c r="E58" i="5"/>
  <c r="B58" i="5"/>
  <c r="C58" i="5"/>
  <c r="I107" i="7" l="1"/>
  <c r="K111" i="7"/>
  <c r="M115" i="7"/>
  <c r="M117" i="7"/>
  <c r="H58" i="5"/>
  <c r="A60" i="5"/>
  <c r="F60" i="5" s="1"/>
  <c r="B59" i="5"/>
  <c r="C59" i="5"/>
  <c r="D59" i="5"/>
  <c r="E59" i="5"/>
  <c r="J110" i="7" l="1"/>
  <c r="L114" i="7"/>
  <c r="L116" i="7"/>
  <c r="H59" i="5"/>
  <c r="C60" i="5"/>
  <c r="D60" i="5"/>
  <c r="B60" i="5"/>
  <c r="A61" i="5"/>
  <c r="F61" i="5" s="1"/>
  <c r="E60" i="5"/>
  <c r="I109" i="7" l="1"/>
  <c r="K113" i="7"/>
  <c r="K115" i="7"/>
  <c r="H60" i="5"/>
  <c r="E61" i="5"/>
  <c r="B61" i="5"/>
  <c r="C61" i="5"/>
  <c r="A62" i="5"/>
  <c r="F62" i="5" s="1"/>
  <c r="D61" i="5"/>
  <c r="H108" i="7" l="1"/>
  <c r="J112" i="7"/>
  <c r="J114" i="7"/>
  <c r="H61" i="5"/>
  <c r="E62" i="5"/>
  <c r="B62" i="5"/>
  <c r="D62" i="5"/>
  <c r="A63" i="5"/>
  <c r="F63" i="5" s="1"/>
  <c r="C62" i="5"/>
  <c r="I111" i="7" l="1"/>
  <c r="I113" i="7"/>
  <c r="H62" i="5"/>
  <c r="D63" i="5"/>
  <c r="E63" i="5"/>
  <c r="B63" i="5"/>
  <c r="C63" i="5"/>
  <c r="A64" i="5"/>
  <c r="F64" i="5" s="1"/>
  <c r="H110" i="7" l="1"/>
  <c r="H112" i="7"/>
  <c r="H63" i="5"/>
  <c r="E64" i="5"/>
  <c r="A65" i="5"/>
  <c r="F65" i="5" s="1"/>
  <c r="C64" i="5"/>
  <c r="D64" i="5"/>
  <c r="B64" i="5"/>
  <c r="G109" i="7" l="1"/>
  <c r="G111" i="7"/>
  <c r="H64" i="5"/>
  <c r="D65" i="5"/>
  <c r="E65" i="5"/>
  <c r="B65" i="5"/>
  <c r="C65" i="5"/>
  <c r="A66" i="5"/>
  <c r="F66" i="5" s="1"/>
  <c r="F110" i="7" l="1"/>
  <c r="H65" i="5"/>
  <c r="C66" i="5"/>
  <c r="A67" i="5"/>
  <c r="F67" i="5" s="1"/>
  <c r="B66" i="5"/>
  <c r="D66" i="5"/>
  <c r="E66" i="5"/>
  <c r="H66" i="5" l="1"/>
  <c r="B67" i="5"/>
  <c r="E67" i="5"/>
  <c r="C67" i="5"/>
  <c r="A68" i="5"/>
  <c r="F68" i="5" s="1"/>
  <c r="D67" i="5"/>
  <c r="H67" i="5" l="1"/>
  <c r="E68" i="5"/>
  <c r="B68" i="5"/>
  <c r="D68" i="5"/>
  <c r="A69" i="5"/>
  <c r="F69" i="5" s="1"/>
  <c r="C68" i="5"/>
  <c r="H68" i="5" l="1"/>
  <c r="C69" i="5"/>
  <c r="D69" i="5"/>
  <c r="B69" i="5"/>
  <c r="E69" i="5"/>
  <c r="A70" i="5"/>
  <c r="F70" i="5" s="1"/>
  <c r="H69" i="5" l="1"/>
  <c r="D70" i="5"/>
  <c r="E70" i="5"/>
  <c r="B70" i="5"/>
  <c r="A71" i="5"/>
  <c r="F71" i="5" s="1"/>
  <c r="C70" i="5"/>
  <c r="H70" i="5" l="1"/>
  <c r="C71" i="5"/>
  <c r="E71" i="5"/>
  <c r="A72" i="5"/>
  <c r="F72" i="5" s="1"/>
  <c r="D71" i="5"/>
  <c r="B71" i="5"/>
  <c r="H71" i="5" l="1"/>
  <c r="B72" i="5"/>
  <c r="D72" i="5"/>
  <c r="A73" i="5"/>
  <c r="F73" i="5" s="1"/>
  <c r="C72" i="5"/>
  <c r="E72" i="5"/>
  <c r="H72" i="5" l="1"/>
  <c r="C73" i="5"/>
  <c r="D73" i="5"/>
  <c r="B73" i="5"/>
  <c r="E73" i="5"/>
  <c r="A74" i="5"/>
  <c r="F74" i="5" s="1"/>
  <c r="H73" i="5" l="1"/>
  <c r="D74" i="5"/>
  <c r="C74" i="5"/>
  <c r="A75" i="5"/>
  <c r="F75" i="5" s="1"/>
  <c r="B74" i="5"/>
  <c r="E74" i="5"/>
  <c r="H74" i="5" l="1"/>
  <c r="B75" i="5"/>
  <c r="C75" i="5"/>
  <c r="D75" i="5"/>
  <c r="E75" i="5"/>
  <c r="A76" i="5"/>
  <c r="F76" i="5" s="1"/>
  <c r="H75" i="5" l="1"/>
  <c r="B76" i="5"/>
  <c r="C76" i="5"/>
  <c r="D76" i="5"/>
  <c r="E76" i="5"/>
  <c r="A77" i="5"/>
  <c r="F77" i="5" s="1"/>
  <c r="H76" i="5" l="1"/>
  <c r="B77" i="5"/>
  <c r="C77" i="5"/>
  <c r="D77" i="5"/>
  <c r="E77" i="5"/>
  <c r="A78" i="5"/>
  <c r="F78" i="5" s="1"/>
  <c r="H77" i="5" l="1"/>
  <c r="B78" i="5"/>
  <c r="C78" i="5"/>
  <c r="D78" i="5"/>
  <c r="E78" i="5"/>
  <c r="A79" i="5"/>
  <c r="F79" i="5" s="1"/>
  <c r="H78" i="5" l="1"/>
  <c r="B79" i="5"/>
  <c r="C79" i="5"/>
  <c r="A80" i="5"/>
  <c r="F80" i="5" s="1"/>
  <c r="E79" i="5"/>
  <c r="D79" i="5"/>
  <c r="H79" i="5" l="1"/>
  <c r="D80" i="5"/>
  <c r="C80" i="5"/>
  <c r="E80" i="5"/>
  <c r="A81" i="5"/>
  <c r="F81" i="5" s="1"/>
  <c r="B80" i="5"/>
  <c r="H80" i="5" l="1"/>
  <c r="C81" i="5"/>
  <c r="E81" i="5"/>
  <c r="D81" i="5"/>
  <c r="B81" i="5"/>
  <c r="A82" i="5"/>
  <c r="F82" i="5" s="1"/>
  <c r="H81" i="5" l="1"/>
  <c r="C82" i="5"/>
  <c r="B82" i="5"/>
  <c r="D82" i="5"/>
  <c r="E82" i="5"/>
  <c r="A83" i="5"/>
  <c r="F83" i="5" s="1"/>
  <c r="H82" i="5" l="1"/>
  <c r="B83" i="5"/>
  <c r="D83" i="5"/>
  <c r="A84" i="5"/>
  <c r="F84" i="5" s="1"/>
  <c r="C83" i="5"/>
  <c r="E83" i="5"/>
  <c r="H83" i="5" l="1"/>
  <c r="C84" i="5"/>
  <c r="D84" i="5"/>
  <c r="A85" i="5"/>
  <c r="F85" i="5" s="1"/>
  <c r="E84" i="5"/>
  <c r="B84" i="5"/>
  <c r="H84" i="5" l="1"/>
  <c r="B85" i="5"/>
  <c r="C85" i="5"/>
  <c r="D85" i="5"/>
  <c r="E85" i="5"/>
  <c r="A86" i="5"/>
  <c r="F86" i="5" s="1"/>
  <c r="H85" i="5" l="1"/>
  <c r="B86" i="5"/>
  <c r="C86" i="5"/>
  <c r="D86" i="5"/>
  <c r="E86" i="5"/>
  <c r="A87" i="5"/>
  <c r="F87" i="5" s="1"/>
  <c r="H86" i="5" l="1"/>
  <c r="B87" i="5"/>
  <c r="C87" i="5"/>
  <c r="D87" i="5"/>
  <c r="E87" i="5"/>
  <c r="A88" i="5"/>
  <c r="F88" i="5" s="1"/>
  <c r="H87" i="5" l="1"/>
  <c r="B88" i="5"/>
  <c r="C88" i="5"/>
  <c r="D88" i="5"/>
  <c r="E88" i="5"/>
  <c r="A89" i="5"/>
  <c r="F89" i="5" s="1"/>
  <c r="H88" i="5" l="1"/>
  <c r="B89" i="5"/>
  <c r="C89" i="5"/>
  <c r="D89" i="5"/>
  <c r="E89" i="5"/>
  <c r="A90" i="5"/>
  <c r="F90" i="5" s="1"/>
  <c r="H89" i="5" l="1"/>
  <c r="B90" i="5"/>
  <c r="C90" i="5"/>
  <c r="D90" i="5"/>
  <c r="E90" i="5"/>
  <c r="A91" i="5"/>
  <c r="F91" i="5" s="1"/>
  <c r="H90" i="5" l="1"/>
  <c r="B91" i="5"/>
  <c r="C91" i="5"/>
  <c r="D91" i="5"/>
  <c r="E91" i="5"/>
  <c r="A92" i="5"/>
  <c r="F92" i="5" s="1"/>
  <c r="H91" i="5" l="1"/>
  <c r="D92" i="5"/>
  <c r="C92" i="5"/>
  <c r="B92" i="5"/>
  <c r="E92" i="5"/>
  <c r="A93" i="5"/>
  <c r="F93" i="5" s="1"/>
  <c r="H92" i="5" l="1"/>
  <c r="D93" i="5"/>
  <c r="E93" i="5"/>
  <c r="C93" i="5"/>
  <c r="B93" i="5"/>
  <c r="A94" i="5"/>
  <c r="F94" i="5" s="1"/>
  <c r="H93" i="5" l="1"/>
  <c r="D94" i="5"/>
  <c r="E94" i="5"/>
  <c r="C94" i="5"/>
  <c r="B94" i="5"/>
  <c r="A95" i="5"/>
  <c r="F95" i="5" s="1"/>
  <c r="H94" i="5" l="1"/>
  <c r="C95" i="5"/>
  <c r="D95" i="5"/>
  <c r="E95" i="5"/>
  <c r="B95" i="5"/>
  <c r="A96" i="5"/>
  <c r="F96" i="5" s="1"/>
  <c r="H95" i="5" l="1"/>
  <c r="D96" i="5"/>
  <c r="E96" i="5"/>
  <c r="B96" i="5"/>
  <c r="C96" i="5"/>
  <c r="A97" i="5"/>
  <c r="F97" i="5" s="1"/>
  <c r="H96" i="5" l="1"/>
  <c r="C97" i="5"/>
  <c r="D97" i="5"/>
  <c r="E97" i="5"/>
  <c r="B97" i="5"/>
  <c r="A98" i="5"/>
  <c r="F98" i="5" s="1"/>
  <c r="H97" i="5" l="1"/>
  <c r="E98" i="5"/>
  <c r="D98" i="5"/>
  <c r="B98" i="5"/>
  <c r="C98" i="5"/>
  <c r="A99" i="5"/>
  <c r="F99" i="5" s="1"/>
  <c r="H98" i="5" l="1"/>
  <c r="D99" i="5"/>
  <c r="E99" i="5"/>
  <c r="B99" i="5"/>
  <c r="C99" i="5"/>
  <c r="A100" i="5"/>
  <c r="F100" i="5" s="1"/>
  <c r="H99" i="5" l="1"/>
  <c r="D100" i="5"/>
  <c r="E100" i="5"/>
  <c r="B100" i="5"/>
  <c r="C100" i="5"/>
  <c r="A101" i="5"/>
  <c r="F101" i="5" s="1"/>
  <c r="H100" i="5" l="1"/>
  <c r="E101" i="5"/>
  <c r="D101" i="5"/>
  <c r="C101" i="5"/>
  <c r="B101" i="5"/>
  <c r="A102" i="5"/>
  <c r="F102" i="5" s="1"/>
  <c r="H101" i="5" l="1"/>
  <c r="C102" i="5"/>
  <c r="E102" i="5"/>
  <c r="D102" i="5"/>
  <c r="B102" i="5"/>
  <c r="A103" i="5"/>
  <c r="F103" i="5" s="1"/>
  <c r="H102" i="5" l="1"/>
  <c r="E103" i="5"/>
  <c r="D103" i="5"/>
  <c r="C103" i="5"/>
  <c r="B103" i="5"/>
  <c r="A104" i="5"/>
  <c r="F104" i="5" s="1"/>
  <c r="H103" i="5" l="1"/>
  <c r="C104" i="5"/>
  <c r="E104" i="5"/>
  <c r="D104" i="5"/>
  <c r="B104" i="5"/>
  <c r="H10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indran</author>
  </authors>
  <commentList>
    <comment ref="C8" authorId="0" shapeId="0" xr:uid="{76CF019C-2F4B-43DB-8550-8745D7FD0667}">
      <text>
        <r>
          <rPr>
            <b/>
            <sz val="9"/>
            <color indexed="81"/>
            <rFont val="Tahoma"/>
            <family val="2"/>
          </rPr>
          <t>P - Put
C - Call</t>
        </r>
      </text>
    </comment>
    <comment ref="C9" authorId="0" shapeId="0" xr:uid="{154F5D42-422D-4F0F-B5B8-91ABC8B21D73}">
      <text>
        <r>
          <rPr>
            <b/>
            <sz val="9"/>
            <color indexed="81"/>
            <rFont val="Tahoma"/>
            <family val="2"/>
          </rPr>
          <t>A - American
E - European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indran</author>
  </authors>
  <commentList>
    <comment ref="C8" authorId="0" shapeId="0" xr:uid="{B91F3764-46EE-48A5-B668-9C684F7F5AF8}">
      <text>
        <r>
          <rPr>
            <b/>
            <sz val="9"/>
            <color indexed="81"/>
            <rFont val="Tahoma"/>
            <family val="2"/>
          </rPr>
          <t>P - Put
C - Call</t>
        </r>
      </text>
    </comment>
    <comment ref="C9" authorId="0" shapeId="0" xr:uid="{368299C4-2555-419B-84B2-F444F923286C}">
      <text>
        <r>
          <rPr>
            <b/>
            <sz val="9"/>
            <color indexed="81"/>
            <rFont val="Tahoma"/>
            <family val="2"/>
          </rPr>
          <t>A - American
E - European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4" authorId="0" shapeId="0" xr:uid="{09D8EDBB-C25A-494F-983A-DC8E72C28E6E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The 1st notional of 30MM is applied to calculate the interest for the period 28 Mar 26 - 28 Sep 26.  Similarly, the last notional of 20MM is used to calculate interest for the period 28 Sep 26 to 28 Mar 27 </t>
        </r>
      </text>
    </comment>
    <comment ref="J38" authorId="0" shapeId="0" xr:uid="{75841BE0-6025-4929-8FCB-2FE81328CAFD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The 1st notional of 30MM is applied to calculate the interest for the period 28 Mar 26 - 28 Sep 26.  Similarly, the last notional of 20MM is used to calculate interest for the period 28 Sep 26 to 28 Mar 27 </t>
        </r>
      </text>
    </comment>
  </commentList>
</comments>
</file>

<file path=xl/sharedStrings.xml><?xml version="1.0" encoding="utf-8"?>
<sst xmlns="http://schemas.openxmlformats.org/spreadsheetml/2006/main" count="176" uniqueCount="99">
  <si>
    <t>S0</t>
  </si>
  <si>
    <t>sigma</t>
  </si>
  <si>
    <t>d1</t>
  </si>
  <si>
    <t>d2</t>
  </si>
  <si>
    <t>risk-free rate</t>
  </si>
  <si>
    <t>option life</t>
  </si>
  <si>
    <t>strike</t>
  </si>
  <si>
    <t xml:space="preserve">ai)      </t>
  </si>
  <si>
    <t>aii)</t>
  </si>
  <si>
    <t>dividend rate</t>
  </si>
  <si>
    <t>discount factor</t>
  </si>
  <si>
    <t>ATM Forward Put Premium</t>
  </si>
  <si>
    <t>ATM Spot Call Premium</t>
  </si>
  <si>
    <t>ATM Forward Call Premium</t>
  </si>
  <si>
    <t>ATM Spot Put Premium</t>
  </si>
  <si>
    <t>bi)</t>
  </si>
  <si>
    <t>bii)</t>
  </si>
  <si>
    <t>Premium</t>
  </si>
  <si>
    <t>Computations</t>
  </si>
  <si>
    <t>Include Premium</t>
  </si>
  <si>
    <t>Option Life (years)</t>
  </si>
  <si>
    <t>Volatility Rate (%)</t>
  </si>
  <si>
    <t>Dividend Rate (%)</t>
  </si>
  <si>
    <t>Risk Free Rate (%)</t>
  </si>
  <si>
    <t>Strike Price ($)</t>
  </si>
  <si>
    <t>Postion</t>
  </si>
  <si>
    <t>C</t>
  </si>
  <si>
    <t>P</t>
  </si>
  <si>
    <t>Option Type</t>
  </si>
  <si>
    <t>Profit</t>
  </si>
  <si>
    <t>Stock price At Maturity</t>
  </si>
  <si>
    <t>Current Stock Price ($)</t>
  </si>
  <si>
    <t>Inputs</t>
  </si>
  <si>
    <t>Option 4</t>
  </si>
  <si>
    <t>Option 3</t>
  </si>
  <si>
    <t>Option 2</t>
  </si>
  <si>
    <t>Option 1</t>
  </si>
  <si>
    <t>Net Effect</t>
  </si>
  <si>
    <t>Option type</t>
  </si>
  <si>
    <t>N</t>
  </si>
  <si>
    <t>option 5</t>
  </si>
  <si>
    <t>option 6</t>
  </si>
  <si>
    <t>Net upfront premium</t>
  </si>
  <si>
    <t>X</t>
  </si>
  <si>
    <t>Exercise Type</t>
  </si>
  <si>
    <t>r</t>
  </si>
  <si>
    <t>delta t</t>
  </si>
  <si>
    <t>q</t>
  </si>
  <si>
    <t>u</t>
  </si>
  <si>
    <t>volatility</t>
  </si>
  <si>
    <t>d</t>
  </si>
  <si>
    <t>T</t>
  </si>
  <si>
    <t>p</t>
  </si>
  <si>
    <t xml:space="preserve">Exercise </t>
  </si>
  <si>
    <t>E</t>
  </si>
  <si>
    <t>Stock price tree</t>
  </si>
  <si>
    <t>option tree</t>
  </si>
  <si>
    <t>question 2c:</t>
  </si>
  <si>
    <t>Z</t>
  </si>
  <si>
    <t>3a)</t>
  </si>
  <si>
    <t>3b)</t>
  </si>
  <si>
    <t>X1</t>
  </si>
  <si>
    <t>X2</t>
  </si>
  <si>
    <t>T (yrs)</t>
  </si>
  <si>
    <t>d3</t>
  </si>
  <si>
    <t>d4</t>
  </si>
  <si>
    <t>call</t>
  </si>
  <si>
    <t>put</t>
  </si>
  <si>
    <t>premium value</t>
  </si>
  <si>
    <t>call110</t>
  </si>
  <si>
    <t>put 90</t>
  </si>
  <si>
    <t>Prix de l'option:</t>
  </si>
  <si>
    <t>current stock price</t>
  </si>
  <si>
    <t>Payoff</t>
  </si>
  <si>
    <t>d2T</t>
  </si>
  <si>
    <t>N(d2T)</t>
  </si>
  <si>
    <t>option value</t>
  </si>
  <si>
    <t>a)</t>
  </si>
  <si>
    <t>Date</t>
  </si>
  <si>
    <t>Zero Rates</t>
  </si>
  <si>
    <t>b)</t>
  </si>
  <si>
    <t>Notional (millions)</t>
  </si>
  <si>
    <t>c)</t>
  </si>
  <si>
    <t>d)</t>
  </si>
  <si>
    <t>Discount Factors (Dfi)</t>
  </si>
  <si>
    <t>Time (ti)</t>
  </si>
  <si>
    <t>Fwd Rates (Fi)</t>
  </si>
  <si>
    <t>Fi * ti* Dfi</t>
  </si>
  <si>
    <t>ti* Dfi</t>
  </si>
  <si>
    <t>Time passed</t>
  </si>
  <si>
    <t>total:</t>
  </si>
  <si>
    <t>swap rate M1</t>
  </si>
  <si>
    <t>swap rate M2</t>
  </si>
  <si>
    <t>Fi * ti* Dfi*N</t>
  </si>
  <si>
    <t>ti* Dfi*N</t>
  </si>
  <si>
    <t xml:space="preserve">swap rate </t>
  </si>
  <si>
    <t>ti* Dfi*N*SR</t>
  </si>
  <si>
    <t>Mark to market(millions)</t>
  </si>
  <si>
    <t>ti* Dfi*SR*N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</si>
</sst>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F800]dddd\,\ mmmm\ dd\,\ yyyy"/>
    <numFmt numFmtId="167" formatCode="_-&quot;$&quot;* #,##0.00_-;\-&quot;$&quot;* #,##0.00_-;_-&quot;$&quot;* &quot;-&quot;??_-;_-@_-"/>
    <numFmt numFmtId="168" formatCode="&quot;$&quot;#,##0_);[Red]\(&quot;$&quot;#,##0\)"/>
  </numFmts>
  <fonts count="17" x14ac:knownFonts="1">
    <font>
      <sz val="10"/>
      <name val="Arial"/>
    </font>
    <font>
      <sz val="10"/>
      <name val="Arial"/>
      <family val="2"/>
    </font>
    <font>
      <sz val="14"/>
      <color indexed="9"/>
      <name val="Calibri"/>
      <family val="2"/>
    </font>
    <font>
      <sz val="11"/>
      <color indexed="9"/>
      <name val="Calibri"/>
      <family val="2"/>
    </font>
    <font>
      <sz val="14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9"/>
      <color indexed="81"/>
      <name val="Tahoma"/>
      <family val="2"/>
    </font>
    <font>
      <sz val="14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2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2" fillId="2" borderId="2" xfId="0" applyFont="1" applyFill="1" applyBorder="1"/>
    <xf numFmtId="0" fontId="4" fillId="3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9" fontId="4" fillId="4" borderId="3" xfId="2" applyFont="1" applyFill="1" applyBorder="1" applyAlignment="1">
      <alignment horizontal="center"/>
    </xf>
    <xf numFmtId="166" fontId="2" fillId="2" borderId="0" xfId="0" applyNumberFormat="1" applyFont="1" applyFill="1"/>
    <xf numFmtId="10" fontId="2" fillId="2" borderId="0" xfId="2" applyNumberFormat="1" applyFont="1" applyFill="1"/>
    <xf numFmtId="9" fontId="4" fillId="5" borderId="3" xfId="2" applyFont="1" applyFill="1" applyBorder="1" applyAlignment="1">
      <alignment horizontal="center"/>
    </xf>
    <xf numFmtId="0" fontId="1" fillId="6" borderId="4" xfId="6" applyFill="1" applyBorder="1"/>
    <xf numFmtId="0" fontId="1" fillId="6" borderId="0" xfId="6" applyFill="1"/>
    <xf numFmtId="164" fontId="0" fillId="5" borderId="4" xfId="1" applyFont="1" applyFill="1" applyBorder="1"/>
    <xf numFmtId="164" fontId="5" fillId="7" borderId="4" xfId="1" applyFont="1" applyFill="1" applyBorder="1"/>
    <xf numFmtId="164" fontId="0" fillId="7" borderId="4" xfId="1" applyFont="1" applyFill="1" applyBorder="1"/>
    <xf numFmtId="0" fontId="1" fillId="5" borderId="4" xfId="6" applyFill="1" applyBorder="1"/>
    <xf numFmtId="164" fontId="6" fillId="5" borderId="0" xfId="0" applyNumberFormat="1" applyFont="1" applyFill="1"/>
    <xf numFmtId="0" fontId="6" fillId="5" borderId="0" xfId="0" applyFont="1" applyFill="1"/>
    <xf numFmtId="0" fontId="1" fillId="8" borderId="0" xfId="6" applyFill="1"/>
    <xf numFmtId="0" fontId="1" fillId="8" borderId="5" xfId="6" applyFill="1" applyBorder="1" applyAlignment="1">
      <alignment horizontal="center"/>
    </xf>
    <xf numFmtId="0" fontId="1" fillId="8" borderId="6" xfId="6" applyFill="1" applyBorder="1" applyAlignment="1">
      <alignment horizontal="center"/>
    </xf>
    <xf numFmtId="0" fontId="1" fillId="8" borderId="7" xfId="6" applyFill="1" applyBorder="1" applyAlignment="1">
      <alignment horizontal="center"/>
    </xf>
    <xf numFmtId="0" fontId="1" fillId="8" borderId="8" xfId="6" applyFill="1" applyBorder="1" applyAlignment="1">
      <alignment horizontal="center"/>
    </xf>
    <xf numFmtId="0" fontId="1" fillId="8" borderId="9" xfId="6" applyFill="1" applyBorder="1" applyAlignment="1">
      <alignment horizontal="center"/>
    </xf>
    <xf numFmtId="0" fontId="1" fillId="8" borderId="10" xfId="6" applyFill="1" applyBorder="1" applyAlignment="1">
      <alignment horizontal="center"/>
    </xf>
    <xf numFmtId="0" fontId="8" fillId="8" borderId="0" xfId="10" applyFill="1"/>
    <xf numFmtId="0" fontId="1" fillId="5" borderId="4" xfId="6" applyFill="1" applyBorder="1" applyAlignment="1">
      <alignment horizontal="center"/>
    </xf>
    <xf numFmtId="0" fontId="1" fillId="8" borderId="7" xfId="6" applyFill="1" applyBorder="1" applyAlignment="1">
      <alignment horizontal="center" vertical="center"/>
    </xf>
    <xf numFmtId="0" fontId="1" fillId="8" borderId="10" xfId="6" applyFill="1" applyBorder="1"/>
    <xf numFmtId="0" fontId="1" fillId="8" borderId="10" xfId="6" applyFill="1" applyBorder="1" applyAlignment="1">
      <alignment horizontal="center" vertical="center"/>
    </xf>
    <xf numFmtId="0" fontId="1" fillId="8" borderId="11" xfId="6" applyFill="1" applyBorder="1"/>
    <xf numFmtId="0" fontId="1" fillId="8" borderId="11" xfId="6" applyFill="1" applyBorder="1" applyAlignment="1">
      <alignment horizontal="center"/>
    </xf>
    <xf numFmtId="0" fontId="1" fillId="8" borderId="11" xfId="6" applyFill="1" applyBorder="1" applyAlignment="1">
      <alignment horizontal="center" vertical="center"/>
    </xf>
    <xf numFmtId="0" fontId="1" fillId="8" borderId="12" xfId="6" applyFill="1" applyBorder="1" applyAlignment="1">
      <alignment horizontal="center"/>
    </xf>
    <xf numFmtId="0" fontId="1" fillId="8" borderId="4" xfId="6" applyFill="1" applyBorder="1" applyAlignment="1">
      <alignment horizontal="center"/>
    </xf>
    <xf numFmtId="0" fontId="1" fillId="8" borderId="0" xfId="6" applyFill="1" applyAlignment="1">
      <alignment horizontal="center"/>
    </xf>
    <xf numFmtId="0" fontId="7" fillId="8" borderId="15" xfId="6" applyFont="1" applyFill="1" applyBorder="1" applyAlignment="1">
      <alignment horizontal="center"/>
    </xf>
    <xf numFmtId="0" fontId="1" fillId="8" borderId="15" xfId="6" applyFill="1" applyBorder="1" applyAlignment="1">
      <alignment horizontal="center"/>
    </xf>
    <xf numFmtId="0" fontId="1" fillId="8" borderId="16" xfId="6" applyFill="1" applyBorder="1" applyAlignment="1">
      <alignment horizontal="center"/>
    </xf>
    <xf numFmtId="0" fontId="1" fillId="8" borderId="4" xfId="6" applyFill="1" applyBorder="1"/>
    <xf numFmtId="0" fontId="1" fillId="8" borderId="4" xfId="6" applyFill="1" applyBorder="1" applyAlignment="1">
      <alignment horizontal="center" vertical="top"/>
    </xf>
    <xf numFmtId="0" fontId="1" fillId="5" borderId="0" xfId="6" applyFill="1"/>
    <xf numFmtId="167" fontId="1" fillId="5" borderId="0" xfId="6" applyNumberFormat="1" applyFill="1"/>
    <xf numFmtId="10" fontId="0" fillId="8" borderId="4" xfId="9" applyNumberFormat="1" applyFont="1" applyFill="1" applyBorder="1"/>
    <xf numFmtId="0" fontId="1" fillId="8" borderId="16" xfId="6" applyFill="1" applyBorder="1"/>
    <xf numFmtId="0" fontId="1" fillId="8" borderId="17" xfId="6" applyFill="1" applyBorder="1"/>
    <xf numFmtId="0" fontId="1" fillId="8" borderId="5" xfId="6" applyFill="1" applyBorder="1"/>
    <xf numFmtId="0" fontId="1" fillId="8" borderId="9" xfId="6" applyFill="1" applyBorder="1"/>
    <xf numFmtId="0" fontId="1" fillId="8" borderId="18" xfId="6" applyFill="1" applyBorder="1"/>
    <xf numFmtId="0" fontId="1" fillId="8" borderId="15" xfId="6" applyFill="1" applyBorder="1"/>
    <xf numFmtId="0" fontId="1" fillId="8" borderId="8" xfId="6" applyFill="1" applyBorder="1"/>
    <xf numFmtId="0" fontId="1" fillId="8" borderId="6" xfId="6" applyFill="1" applyBorder="1"/>
    <xf numFmtId="0" fontId="1" fillId="8" borderId="0" xfId="6" applyFill="1" applyAlignment="1">
      <alignment vertical="center"/>
    </xf>
    <xf numFmtId="0" fontId="1" fillId="8" borderId="0" xfId="6" applyFill="1" applyAlignment="1">
      <alignment horizontal="center" vertical="center"/>
    </xf>
    <xf numFmtId="0" fontId="1" fillId="5" borderId="5" xfId="6" applyFill="1" applyBorder="1"/>
    <xf numFmtId="0" fontId="1" fillId="0" borderId="0" xfId="0" applyFont="1"/>
    <xf numFmtId="0" fontId="1" fillId="6" borderId="4" xfId="6" applyFill="1" applyBorder="1" applyAlignment="1">
      <alignment horizontal="center"/>
    </xf>
    <xf numFmtId="164" fontId="0" fillId="6" borderId="4" xfId="1" applyFont="1" applyFill="1" applyBorder="1"/>
    <xf numFmtId="10" fontId="0" fillId="8" borderId="4" xfId="2" applyNumberFormat="1" applyFont="1" applyFill="1" applyBorder="1"/>
    <xf numFmtId="10" fontId="0" fillId="6" borderId="4" xfId="2" applyNumberFormat="1" applyFont="1" applyFill="1" applyBorder="1"/>
    <xf numFmtId="0" fontId="1" fillId="6" borderId="0" xfId="6" applyFill="1" applyAlignment="1">
      <alignment horizontal="center"/>
    </xf>
    <xf numFmtId="0" fontId="0" fillId="5" borderId="0" xfId="0" applyFill="1"/>
    <xf numFmtId="168" fontId="4" fillId="9" borderId="0" xfId="0" applyNumberFormat="1" applyFont="1" applyFill="1"/>
    <xf numFmtId="0" fontId="10" fillId="9" borderId="0" xfId="0" applyFont="1" applyFill="1"/>
    <xf numFmtId="0" fontId="11" fillId="9" borderId="0" xfId="0" applyFont="1" applyFill="1"/>
    <xf numFmtId="0" fontId="12" fillId="9" borderId="0" xfId="0" applyFont="1" applyFill="1"/>
    <xf numFmtId="0" fontId="13" fillId="9" borderId="0" xfId="0" applyFont="1" applyFill="1"/>
    <xf numFmtId="0" fontId="13" fillId="9" borderId="11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4" fillId="9" borderId="0" xfId="0" applyFont="1" applyFill="1"/>
    <xf numFmtId="15" fontId="13" fillId="9" borderId="11" xfId="0" applyNumberFormat="1" applyFont="1" applyFill="1" applyBorder="1" applyAlignment="1">
      <alignment horizontal="center"/>
    </xf>
    <xf numFmtId="10" fontId="13" fillId="9" borderId="11" xfId="2" applyNumberFormat="1" applyFont="1" applyFill="1" applyBorder="1" applyAlignment="1">
      <alignment horizontal="center"/>
    </xf>
    <xf numFmtId="15" fontId="13" fillId="9" borderId="10" xfId="0" applyNumberFormat="1" applyFont="1" applyFill="1" applyBorder="1" applyAlignment="1">
      <alignment horizontal="center"/>
    </xf>
    <xf numFmtId="10" fontId="13" fillId="9" borderId="10" xfId="2" applyNumberFormat="1" applyFont="1" applyFill="1" applyBorder="1" applyAlignment="1">
      <alignment horizontal="center"/>
    </xf>
    <xf numFmtId="10" fontId="1" fillId="9" borderId="10" xfId="2" applyNumberFormat="1" applyFont="1" applyFill="1" applyBorder="1" applyAlignment="1">
      <alignment horizontal="center"/>
    </xf>
    <xf numFmtId="15" fontId="13" fillId="9" borderId="7" xfId="0" applyNumberFormat="1" applyFont="1" applyFill="1" applyBorder="1" applyAlignment="1">
      <alignment horizontal="center"/>
    </xf>
    <xf numFmtId="10" fontId="13" fillId="9" borderId="7" xfId="2" applyNumberFormat="1" applyFont="1" applyFill="1" applyBorder="1" applyAlignment="1">
      <alignment horizontal="center"/>
    </xf>
    <xf numFmtId="15" fontId="13" fillId="9" borderId="0" xfId="0" applyNumberFormat="1" applyFont="1" applyFill="1" applyAlignment="1">
      <alignment horizontal="center"/>
    </xf>
    <xf numFmtId="10" fontId="13" fillId="9" borderId="0" xfId="2" applyNumberFormat="1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3" fillId="9" borderId="16" xfId="0" applyFont="1" applyFill="1" applyBorder="1" applyAlignment="1">
      <alignment horizontal="center"/>
    </xf>
    <xf numFmtId="15" fontId="13" fillId="9" borderId="16" xfId="0" applyNumberFormat="1" applyFont="1" applyFill="1" applyBorder="1" applyAlignment="1">
      <alignment horizontal="center"/>
    </xf>
    <xf numFmtId="0" fontId="1" fillId="10" borderId="4" xfId="6" applyFill="1" applyBorder="1" applyAlignment="1">
      <alignment horizontal="center"/>
    </xf>
    <xf numFmtId="0" fontId="1" fillId="10" borderId="11" xfId="6" applyFill="1" applyBorder="1" applyAlignment="1">
      <alignment horizontal="center"/>
    </xf>
    <xf numFmtId="10" fontId="13" fillId="9" borderId="4" xfId="2" applyNumberFormat="1" applyFont="1" applyFill="1" applyBorder="1" applyAlignment="1">
      <alignment horizontal="center"/>
    </xf>
    <xf numFmtId="0" fontId="4" fillId="9" borderId="4" xfId="0" applyFont="1" applyFill="1" applyBorder="1"/>
    <xf numFmtId="0" fontId="11" fillId="9" borderId="4" xfId="0" applyFont="1" applyFill="1" applyBorder="1"/>
    <xf numFmtId="0" fontId="13" fillId="9" borderId="4" xfId="2" applyNumberFormat="1" applyFont="1" applyFill="1" applyBorder="1" applyAlignment="1">
      <alignment horizontal="center"/>
    </xf>
    <xf numFmtId="0" fontId="12" fillId="9" borderId="4" xfId="0" applyFont="1" applyFill="1" applyBorder="1"/>
    <xf numFmtId="0" fontId="13" fillId="9" borderId="4" xfId="0" applyFont="1" applyFill="1" applyBorder="1"/>
    <xf numFmtId="10" fontId="12" fillId="9" borderId="0" xfId="2" applyNumberFormat="1" applyFont="1" applyFill="1"/>
    <xf numFmtId="0" fontId="14" fillId="9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5" fillId="10" borderId="4" xfId="6" applyFont="1" applyFill="1" applyBorder="1" applyAlignment="1">
      <alignment horizontal="center"/>
    </xf>
    <xf numFmtId="10" fontId="12" fillId="11" borderId="0" xfId="2" applyNumberFormat="1" applyFont="1" applyFill="1"/>
    <xf numFmtId="10" fontId="12" fillId="11" borderId="0" xfId="0" applyNumberFormat="1" applyFont="1" applyFill="1"/>
    <xf numFmtId="0" fontId="12" fillId="11" borderId="0" xfId="0" applyFont="1" applyFill="1"/>
    <xf numFmtId="0" fontId="1" fillId="10" borderId="16" xfId="6" applyFill="1" applyBorder="1" applyAlignment="1">
      <alignment horizontal="center"/>
    </xf>
    <xf numFmtId="0" fontId="11" fillId="9" borderId="14" xfId="0" applyFont="1" applyFill="1" applyBorder="1"/>
    <xf numFmtId="0" fontId="12" fillId="9" borderId="14" xfId="0" applyFont="1" applyFill="1" applyBorder="1"/>
    <xf numFmtId="164" fontId="0" fillId="8" borderId="0" xfId="1" applyFont="1" applyFill="1" applyBorder="1"/>
    <xf numFmtId="167" fontId="0" fillId="5" borderId="4" xfId="0" applyNumberFormat="1" applyFill="1" applyBorder="1"/>
    <xf numFmtId="0" fontId="1" fillId="8" borderId="11" xfId="6" applyFill="1" applyBorder="1" applyAlignment="1">
      <alignment horizontal="center" vertical="center"/>
    </xf>
    <xf numFmtId="0" fontId="1" fillId="8" borderId="7" xfId="6" applyFill="1" applyBorder="1" applyAlignment="1">
      <alignment horizontal="center" vertical="center"/>
    </xf>
    <xf numFmtId="0" fontId="1" fillId="8" borderId="16" xfId="6" applyFill="1" applyBorder="1" applyAlignment="1">
      <alignment horizontal="center" vertical="center"/>
    </xf>
    <xf numFmtId="0" fontId="1" fillId="8" borderId="8" xfId="6" applyFill="1" applyBorder="1" applyAlignment="1">
      <alignment horizontal="center" vertical="center"/>
    </xf>
    <xf numFmtId="0" fontId="1" fillId="8" borderId="10" xfId="6" applyFill="1" applyBorder="1" applyAlignment="1">
      <alignment horizontal="center" vertical="center"/>
    </xf>
    <xf numFmtId="0" fontId="1" fillId="8" borderId="4" xfId="6" applyFill="1" applyBorder="1" applyAlignment="1">
      <alignment horizontal="center"/>
    </xf>
    <xf numFmtId="0" fontId="1" fillId="8" borderId="16" xfId="6" applyFill="1" applyBorder="1" applyAlignment="1">
      <alignment horizontal="center"/>
    </xf>
    <xf numFmtId="0" fontId="1" fillId="8" borderId="17" xfId="6" applyFill="1" applyBorder="1" applyAlignment="1">
      <alignment horizontal="center"/>
    </xf>
    <xf numFmtId="0" fontId="1" fillId="8" borderId="15" xfId="6" applyFill="1" applyBorder="1" applyAlignment="1">
      <alignment horizontal="center"/>
    </xf>
    <xf numFmtId="9" fontId="1" fillId="8" borderId="14" xfId="6" applyNumberFormat="1" applyFill="1" applyBorder="1" applyAlignment="1">
      <alignment horizontal="center"/>
    </xf>
    <xf numFmtId="9" fontId="1" fillId="8" borderId="13" xfId="6" applyNumberFormat="1" applyFill="1" applyBorder="1" applyAlignment="1">
      <alignment horizontal="center"/>
    </xf>
    <xf numFmtId="9" fontId="1" fillId="8" borderId="12" xfId="6" applyNumberFormat="1" applyFill="1" applyBorder="1" applyAlignment="1">
      <alignment horizontal="center"/>
    </xf>
    <xf numFmtId="0" fontId="1" fillId="8" borderId="14" xfId="6" applyFill="1" applyBorder="1" applyAlignment="1">
      <alignment horizontal="center"/>
    </xf>
    <xf numFmtId="0" fontId="1" fillId="8" borderId="13" xfId="6" applyFill="1" applyBorder="1" applyAlignment="1">
      <alignment horizontal="center"/>
    </xf>
    <xf numFmtId="0" fontId="1" fillId="8" borderId="12" xfId="6" applyFill="1" applyBorder="1" applyAlignment="1">
      <alignment horizontal="center"/>
    </xf>
    <xf numFmtId="0" fontId="1" fillId="8" borderId="4" xfId="6" applyFill="1" applyBorder="1" applyAlignment="1">
      <alignment horizontal="center" vertical="center"/>
    </xf>
    <xf numFmtId="0" fontId="1" fillId="8" borderId="18" xfId="6" applyFill="1" applyBorder="1" applyAlignment="1">
      <alignment horizontal="center"/>
    </xf>
    <xf numFmtId="0" fontId="1" fillId="8" borderId="0" xfId="6" applyFill="1" applyAlignment="1">
      <alignment horizontal="center"/>
    </xf>
    <xf numFmtId="0" fontId="1" fillId="8" borderId="9" xfId="6" applyFill="1" applyBorder="1" applyAlignment="1">
      <alignment horizontal="center"/>
    </xf>
    <xf numFmtId="0" fontId="0" fillId="0" borderId="0" xfId="0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12" fillId="12" borderId="0" xfId="0" applyFont="1" applyFill="1" applyAlignment="1">
      <alignment horizontal="center"/>
    </xf>
  </cellXfs>
  <cellStyles count="11">
    <cellStyle name="Comma 2" xfId="4" xr:uid="{00000000-0005-0000-0000-000000000000}"/>
    <cellStyle name="Currency 2" xfId="5" xr:uid="{00000000-0005-0000-0000-000002000000}"/>
    <cellStyle name="Lien hypertexte" xfId="10" builtinId="8"/>
    <cellStyle name="Monétaire" xfId="1" builtinId="4"/>
    <cellStyle name="Normal" xfId="0" builtinId="0"/>
    <cellStyle name="Normal 2" xfId="3" xr:uid="{00000000-0005-0000-0000-000004000000}"/>
    <cellStyle name="Normal 2 2" xfId="6" xr:uid="{00000000-0005-0000-0000-000005000000}"/>
    <cellStyle name="Normal 3" xfId="7" xr:uid="{00000000-0005-0000-0000-000006000000}"/>
    <cellStyle name="Percent 2" xfId="8" xr:uid="{00000000-0005-0000-0000-000008000000}"/>
    <cellStyle name="Percent 2 2" xfId="9" xr:uid="{00000000-0005-0000-0000-000009000000}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Payoff/Profit At Maturity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955155211181165E-2"/>
          <c:y val="0.15042971886971176"/>
          <c:w val="0.87398293253528991"/>
          <c:h val="0.67651201785485149"/>
        </c:manualLayout>
      </c:layout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'Question 2ac'!$A$4:$A$104</c:f>
              <c:numCache>
                <c:formatCode>General</c:formatCode>
                <c:ptCount val="1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</c:numCache>
            </c:numRef>
          </c:xVal>
          <c:yVal>
            <c:numRef>
              <c:f>'Question 2ac'!$H$4:$H$104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  <c:pt idx="51">
                  <c:v>2</c:v>
                </c:pt>
                <c:pt idx="52">
                  <c:v>4</c:v>
                </c:pt>
                <c:pt idx="53">
                  <c:v>6</c:v>
                </c:pt>
                <c:pt idx="54">
                  <c:v>8</c:v>
                </c:pt>
                <c:pt idx="55">
                  <c:v>10</c:v>
                </c:pt>
                <c:pt idx="56">
                  <c:v>12</c:v>
                </c:pt>
                <c:pt idx="57">
                  <c:v>14</c:v>
                </c:pt>
                <c:pt idx="58">
                  <c:v>16</c:v>
                </c:pt>
                <c:pt idx="59">
                  <c:v>18</c:v>
                </c:pt>
                <c:pt idx="60">
                  <c:v>20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14-4F5E-90E5-9921EF589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Stock Price on maturity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31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13</xdr:row>
      <xdr:rowOff>91440</xdr:rowOff>
    </xdr:from>
    <xdr:to>
      <xdr:col>4</xdr:col>
      <xdr:colOff>0</xdr:colOff>
      <xdr:row>21</xdr:row>
      <xdr:rowOff>7620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B0149FD-C843-0969-29D7-E237BF2DF65E}"/>
            </a:ext>
          </a:extLst>
        </xdr:cNvPr>
        <xdr:cNvSpPr txBox="1"/>
      </xdr:nvSpPr>
      <xdr:spPr>
        <a:xfrm>
          <a:off x="533400" y="3154680"/>
          <a:ext cx="3032760" cy="1744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1bi): The put call parity for</a:t>
          </a:r>
          <a:r>
            <a:rPr lang="fr-FR" sz="1100" baseline="0"/>
            <a:t> european option is</a:t>
          </a:r>
          <a:r>
            <a:rPr lang="fr-FR" sz="1100"/>
            <a:t> </a:t>
          </a:r>
          <a:r>
            <a:rPr lang="fr-FR"/>
            <a:t>C−P=S0​exp(−qT)−Xexp(−rT)</a:t>
          </a:r>
        </a:p>
        <a:p>
          <a:r>
            <a:rPr lang="fr-FR" sz="1100"/>
            <a:t>and X</a:t>
          </a:r>
          <a:r>
            <a:rPr lang="fr-FR"/>
            <a:t>=F0​=S0​exp((r−q)T).</a:t>
          </a:r>
        </a:p>
        <a:p>
          <a:r>
            <a:rPr lang="fr-FR" sz="1100"/>
            <a:t>So </a:t>
          </a:r>
          <a:r>
            <a:rPr lang="fr-FR"/>
            <a:t>C</a:t>
          </a:r>
          <a:r>
            <a:rPr lang="fr-FR" baseline="-25000"/>
            <a:t>ATM</a:t>
          </a:r>
          <a:r>
            <a:rPr lang="fr-FR"/>
            <a:t>-forward​=P</a:t>
          </a:r>
          <a:r>
            <a:rPr lang="fr-FR" baseline="-25000"/>
            <a:t>ATM</a:t>
          </a:r>
          <a:r>
            <a:rPr lang="fr-FR"/>
            <a:t>-forward​.</a:t>
          </a:r>
        </a:p>
        <a:p>
          <a:r>
            <a:rPr lang="fr-FR" sz="1100"/>
            <a:t>1bi) Same but X=F0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548986</xdr:colOff>
      <xdr:row>0</xdr:row>
      <xdr:rowOff>134216</xdr:rowOff>
    </xdr:from>
    <xdr:to>
      <xdr:col>28</xdr:col>
      <xdr:colOff>244185</xdr:colOff>
      <xdr:row>21</xdr:row>
      <xdr:rowOff>110836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C29F2-7706-46F3-A84E-9566C3620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521804</xdr:colOff>
      <xdr:row>16</xdr:row>
      <xdr:rowOff>74543</xdr:rowOff>
    </xdr:from>
    <xdr:to>
      <xdr:col>18</xdr:col>
      <xdr:colOff>41413</xdr:colOff>
      <xdr:row>25</xdr:row>
      <xdr:rowOff>49696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C9A294C-445B-7A5C-8303-326E46B82F1E}"/>
            </a:ext>
          </a:extLst>
        </xdr:cNvPr>
        <xdr:cNvSpPr txBox="1"/>
      </xdr:nvSpPr>
      <xdr:spPr>
        <a:xfrm>
          <a:off x="9823174" y="2724978"/>
          <a:ext cx="3296478" cy="1466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The conditional premium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fr-FR"/>
            <a:t> was determined by setting the net upfront cost of the strategy to zero, such that the present value of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fr-FR"/>
            <a:t> (paid only if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</a:t>
          </a:r>
          <a:r>
            <a:rPr lang="fr-FR"/>
            <a:t>is within the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[80, 120]</a:t>
          </a:r>
          <a:r>
            <a:rPr lang="fr-FR"/>
            <a:t> interval) equals the initial portfolio value of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4.61$</a:t>
          </a:r>
          <a:r>
            <a:rPr lang="fr-FR"/>
            <a:t>. Mathematically, this was calculated as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 = V_0 / [e^{-rT} \ (N(d_{2,80}) - N(d_{2,120}))]</a:t>
          </a:r>
          <a:r>
            <a:rPr lang="fr-FR"/>
            <a:t> using the Black-Scholes cumulative probabilities for the given strikes</a:t>
          </a:r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0</xdr:row>
      <xdr:rowOff>38100</xdr:rowOff>
    </xdr:from>
    <xdr:to>
      <xdr:col>11</xdr:col>
      <xdr:colOff>271699</xdr:colOff>
      <xdr:row>5</xdr:row>
      <xdr:rowOff>143007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9E66C01-235A-AC6A-F4D6-C911FADB5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38100"/>
          <a:ext cx="8516539" cy="943107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5</xdr:row>
      <xdr:rowOff>144780</xdr:rowOff>
    </xdr:from>
    <xdr:to>
      <xdr:col>6</xdr:col>
      <xdr:colOff>106680</xdr:colOff>
      <xdr:row>13</xdr:row>
      <xdr:rowOff>54670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C86258D-18E5-45C1-4926-1F03E1E6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" y="982980"/>
          <a:ext cx="4655820" cy="1251010"/>
        </a:xfrm>
        <a:prstGeom prst="rect">
          <a:avLst/>
        </a:prstGeom>
      </xdr:spPr>
    </xdr:pic>
    <xdr:clientData/>
  </xdr:twoCellAnchor>
  <xdr:twoCellAnchor editAs="oneCell">
    <xdr:from>
      <xdr:col>6</xdr:col>
      <xdr:colOff>82639</xdr:colOff>
      <xdr:row>5</xdr:row>
      <xdr:rowOff>129540</xdr:rowOff>
    </xdr:from>
    <xdr:to>
      <xdr:col>12</xdr:col>
      <xdr:colOff>7370</xdr:colOff>
      <xdr:row>13</xdr:row>
      <xdr:rowOff>53340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4EDB1DB-0261-53AF-215A-F2AE280B4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3719" y="967740"/>
          <a:ext cx="4679611" cy="12649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99060</xdr:rowOff>
    </xdr:from>
    <xdr:to>
      <xdr:col>7</xdr:col>
      <xdr:colOff>289560</xdr:colOff>
      <xdr:row>6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2C6C7F0-B9E8-E18C-A3C1-37A71783B335}"/>
            </a:ext>
          </a:extLst>
        </xdr:cNvPr>
        <xdr:cNvSpPr txBox="1"/>
      </xdr:nvSpPr>
      <xdr:spPr>
        <a:xfrm>
          <a:off x="83820" y="99060"/>
          <a:ext cx="5753100" cy="1059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4a)The spot put has</a:t>
          </a:r>
          <a:r>
            <a:rPr lang="fr-FR" sz="1100" baseline="0"/>
            <a:t> a probability of 30% so we know taht N(-d2)=0,3 and so N(d2)=0,7. In addition, The sensitivity of the call is 0,65 so N(d1)=0,65. 10$=&gt;12$ so exp(rt)=1,2 so exp(-rt)=1/1,2. Both options are ATM so S0=X and the premium of the call is 2 so we can find the price of the current stock price below.</a:t>
          </a:r>
          <a:endParaRPr lang="fr-FR" sz="1100"/>
        </a:p>
      </xdr:txBody>
    </xdr:sp>
    <xdr:clientData/>
  </xdr:twoCellAnchor>
  <xdr:twoCellAnchor>
    <xdr:from>
      <xdr:col>0</xdr:col>
      <xdr:colOff>83820</xdr:colOff>
      <xdr:row>9</xdr:row>
      <xdr:rowOff>144780</xdr:rowOff>
    </xdr:from>
    <xdr:to>
      <xdr:col>7</xdr:col>
      <xdr:colOff>259080</xdr:colOff>
      <xdr:row>17</xdr:row>
      <xdr:rowOff>7620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6BE8517-159D-B94E-BE3D-5AE6A4799B21}"/>
            </a:ext>
          </a:extLst>
        </xdr:cNvPr>
        <xdr:cNvSpPr txBox="1"/>
      </xdr:nvSpPr>
      <xdr:spPr>
        <a:xfrm>
          <a:off x="83820" y="1653540"/>
          <a:ext cx="5722620" cy="1203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4b)</a:t>
          </a:r>
          <a:r>
            <a:rPr lang="fr-FR"/>
            <a:t>Prix=Payoff×exp(−r2T)×Q(ST​&gt;K). The</a:t>
          </a:r>
          <a:r>
            <a:rPr lang="fr-FR" baseline="0"/>
            <a:t> Payoff is 100 because it's a binary option with a bet of 100. </a:t>
          </a:r>
          <a:r>
            <a:rPr lang="fr-FR"/>
            <a:t>exp(−r(2T))=1/(1.2)</a:t>
          </a:r>
          <a:r>
            <a:rPr lang="fr-FR" baseline="30000"/>
            <a:t>2​ </a:t>
          </a:r>
          <a:r>
            <a:rPr lang="fr-FR" baseline="0"/>
            <a:t>thanks to the previous question . And finally                                        what we can find out thanks to the first question.</a:t>
          </a:r>
          <a:endParaRPr lang="fr-FR" sz="1100" baseline="0"/>
        </a:p>
      </xdr:txBody>
    </xdr:sp>
    <xdr:clientData/>
  </xdr:twoCellAnchor>
  <xdr:twoCellAnchor editAs="oneCell">
    <xdr:from>
      <xdr:col>5</xdr:col>
      <xdr:colOff>190500</xdr:colOff>
      <xdr:row>11</xdr:row>
      <xdr:rowOff>8294</xdr:rowOff>
    </xdr:from>
    <xdr:to>
      <xdr:col>6</xdr:col>
      <xdr:colOff>590850</xdr:colOff>
      <xdr:row>12</xdr:row>
      <xdr:rowOff>78165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82EA572-662D-4358-9683-61FF2577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1852334"/>
          <a:ext cx="1192830" cy="2375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800100</xdr:colOff>
      <xdr:row>30</xdr:row>
      <xdr:rowOff>167640</xdr:rowOff>
    </xdr:from>
    <xdr:to>
      <xdr:col>14</xdr:col>
      <xdr:colOff>22860</xdr:colOff>
      <xdr:row>36</xdr:row>
      <xdr:rowOff>15240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5655DB3-BC28-C17A-D233-9C7C349D1E04}"/>
            </a:ext>
          </a:extLst>
        </xdr:cNvPr>
        <xdr:cNvSpPr txBox="1"/>
      </xdr:nvSpPr>
      <xdr:spPr>
        <a:xfrm>
          <a:off x="10043160" y="6385560"/>
          <a:ext cx="292608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The floating rate for the June 2025 payment was already fixed at 4.02% during the last reset on March 28, 2025; therefore, the current market forward rate is not applicable for this period</a:t>
          </a:r>
          <a:endParaRPr lang="fr-FR" sz="1100"/>
        </a:p>
      </xdr:txBody>
    </xdr:sp>
    <xdr:clientData/>
  </xdr:twoCellAnchor>
  <xdr:twoCellAnchor>
    <xdr:from>
      <xdr:col>11</xdr:col>
      <xdr:colOff>60960</xdr:colOff>
      <xdr:row>43</xdr:row>
      <xdr:rowOff>38100</xdr:rowOff>
    </xdr:from>
    <xdr:to>
      <xdr:col>14</xdr:col>
      <xdr:colOff>167640</xdr:colOff>
      <xdr:row>48</xdr:row>
      <xdr:rowOff>38100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1EFD826-5C5D-01A9-0549-7C8F78ABB38B}"/>
            </a:ext>
          </a:extLst>
        </xdr:cNvPr>
        <xdr:cNvSpPr txBox="1"/>
      </xdr:nvSpPr>
      <xdr:spPr>
        <a:xfrm>
          <a:off x="10134600" y="8953500"/>
          <a:ext cx="297942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While the Swap Rate calculation includes the start date to define the initial curve, the Mark-to-Market at May 15, 2025, only accounts for the two remaining interest payment dates (September 2026 and March 2027), as no cash flows occur on the commencement date itself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workbookViewId="0">
      <selection activeCell="D7" sqref="D7"/>
    </sheetView>
  </sheetViews>
  <sheetFormatPr baseColWidth="10" defaultColWidth="9.21875" defaultRowHeight="13.2" x14ac:dyDescent="0.25"/>
  <cols>
    <col min="1" max="2" width="9.21875" style="3"/>
    <col min="3" max="3" width="22.77734375" style="3" customWidth="1"/>
    <col min="4" max="4" width="10.77734375" style="3" bestFit="1" customWidth="1"/>
    <col min="5" max="7" width="9.21875" style="3"/>
    <col min="8" max="8" width="19.21875" style="3" customWidth="1"/>
    <col min="9" max="9" width="28.109375" style="3" bestFit="1" customWidth="1"/>
    <col min="10" max="16384" width="9.21875" style="3"/>
  </cols>
  <sheetData>
    <row r="1" spans="1:22" ht="18.60000000000000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</row>
    <row r="2" spans="1:22" ht="18.600000000000001" thickBot="1" x14ac:dyDescent="0.4">
      <c r="A2" s="1" t="s">
        <v>7</v>
      </c>
      <c r="B2" s="4" t="s">
        <v>0</v>
      </c>
      <c r="C2" s="5"/>
      <c r="D2" s="8">
        <v>255</v>
      </c>
      <c r="E2" s="1"/>
      <c r="F2" s="1" t="s">
        <v>8</v>
      </c>
      <c r="G2" s="4" t="s">
        <v>0</v>
      </c>
      <c r="H2" s="5"/>
      <c r="I2" s="8">
        <v>255</v>
      </c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</row>
    <row r="3" spans="1:22" ht="18.600000000000001" thickBot="1" x14ac:dyDescent="0.4">
      <c r="A3" s="1"/>
      <c r="B3" s="4" t="s">
        <v>1</v>
      </c>
      <c r="C3" s="5"/>
      <c r="D3" s="9">
        <v>0.3</v>
      </c>
      <c r="E3" s="1"/>
      <c r="F3" s="1"/>
      <c r="G3" s="4" t="s">
        <v>1</v>
      </c>
      <c r="H3" s="5"/>
      <c r="I3" s="9">
        <v>0.3</v>
      </c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</row>
    <row r="4" spans="1:22" ht="18.600000000000001" thickBot="1" x14ac:dyDescent="0.4">
      <c r="A4" s="1"/>
      <c r="B4" s="4" t="s">
        <v>10</v>
      </c>
      <c r="C4" s="5"/>
      <c r="D4" s="9">
        <f>EXP(-0.04)</f>
        <v>0.96078943915232318</v>
      </c>
      <c r="E4" s="1"/>
      <c r="F4" s="1"/>
      <c r="G4" s="4" t="s">
        <v>10</v>
      </c>
      <c r="H4" s="5"/>
      <c r="I4" s="9">
        <f>EXP(-0.04)</f>
        <v>0.96078943915232318</v>
      </c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</row>
    <row r="5" spans="1:22" ht="18.600000000000001" thickBot="1" x14ac:dyDescent="0.4">
      <c r="A5" s="1"/>
      <c r="B5" s="4" t="s">
        <v>9</v>
      </c>
      <c r="C5" s="5"/>
      <c r="D5" s="9">
        <v>0.04</v>
      </c>
      <c r="E5" s="1"/>
      <c r="F5" s="1"/>
      <c r="G5" s="4" t="s">
        <v>9</v>
      </c>
      <c r="H5" s="5"/>
      <c r="I5" s="9">
        <v>0.04</v>
      </c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</row>
    <row r="6" spans="1:22" ht="18.600000000000001" thickBot="1" x14ac:dyDescent="0.4">
      <c r="A6" s="1"/>
      <c r="B6" s="4" t="s">
        <v>5</v>
      </c>
      <c r="C6" s="5"/>
      <c r="D6" s="8">
        <f>8/12</f>
        <v>0.66666666666666663</v>
      </c>
      <c r="E6" s="1"/>
      <c r="F6" s="1"/>
      <c r="G6" s="4" t="s">
        <v>5</v>
      </c>
      <c r="H6" s="5"/>
      <c r="I6" s="8">
        <f>8/12</f>
        <v>0.66666666666666663</v>
      </c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</row>
    <row r="7" spans="1:22" ht="18.600000000000001" thickBot="1" x14ac:dyDescent="0.4">
      <c r="A7" s="1"/>
      <c r="B7" s="4" t="s">
        <v>4</v>
      </c>
      <c r="C7" s="5"/>
      <c r="D7" s="12">
        <f>-LN(D4)/D6</f>
        <v>6.0000000000000053E-2</v>
      </c>
      <c r="E7" s="1"/>
      <c r="F7" s="1"/>
      <c r="G7" s="4" t="s">
        <v>4</v>
      </c>
      <c r="H7" s="5"/>
      <c r="I7" s="12">
        <f>-LN(I4)/I6</f>
        <v>6.0000000000000053E-2</v>
      </c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</row>
    <row r="8" spans="1:22" ht="18.600000000000001" thickBot="1" x14ac:dyDescent="0.4">
      <c r="A8" s="1"/>
      <c r="B8" s="4" t="s">
        <v>6</v>
      </c>
      <c r="C8" s="5"/>
      <c r="D8" s="6">
        <f>D2*EXP((D7-D5)*D6)</f>
        <v>258.42276774410732</v>
      </c>
      <c r="E8" s="1"/>
      <c r="F8" s="1"/>
      <c r="G8" s="4" t="s">
        <v>6</v>
      </c>
      <c r="H8" s="5"/>
      <c r="I8" s="6">
        <f>I2</f>
        <v>255</v>
      </c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</row>
    <row r="9" spans="1:22" ht="18.600000000000001" thickBot="1" x14ac:dyDescent="0.4">
      <c r="A9" s="1"/>
      <c r="B9" s="1"/>
      <c r="C9" s="1"/>
      <c r="D9" s="7"/>
      <c r="E9" s="1"/>
      <c r="F9" s="1"/>
      <c r="G9" s="1"/>
      <c r="H9" s="1"/>
      <c r="I9" s="7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</row>
    <row r="10" spans="1:22" ht="18.600000000000001" thickBot="1" x14ac:dyDescent="0.4">
      <c r="A10" s="1"/>
      <c r="B10" s="4" t="s">
        <v>2</v>
      </c>
      <c r="C10" s="5"/>
      <c r="D10" s="18">
        <f>(LN(D2/D8)+((D7-D5+(0.5*D3*D3))*D6))/(D3*SQRT(D6))</f>
        <v>0.12247448713915941</v>
      </c>
      <c r="E10" s="1"/>
      <c r="F10" s="1"/>
      <c r="G10" s="4" t="s">
        <v>2</v>
      </c>
      <c r="H10" s="5"/>
      <c r="I10" s="18">
        <f>(LN(I2/I8)+((I7-I5+(0.5*I3*I3))*I6))/(I3*SQRT(I6))</f>
        <v>0.1769075925343408</v>
      </c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</row>
    <row r="11" spans="1:22" ht="18.600000000000001" thickBot="1" x14ac:dyDescent="0.4">
      <c r="A11" s="1"/>
      <c r="B11" s="4" t="s">
        <v>3</v>
      </c>
      <c r="C11" s="5"/>
      <c r="D11" s="18">
        <f>D10-(D3*SQRT(D6))</f>
        <v>-0.12247448713915839</v>
      </c>
      <c r="E11" s="1"/>
      <c r="F11" s="1"/>
      <c r="G11" s="4" t="s">
        <v>3</v>
      </c>
      <c r="H11" s="5"/>
      <c r="I11" s="18">
        <f>I10-(I3*SQRT(I6))</f>
        <v>-6.8041381743977003E-2</v>
      </c>
      <c r="J11" s="1"/>
      <c r="K11" s="1"/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</row>
    <row r="12" spans="1:22" ht="18.600000000000001" thickBot="1" x14ac:dyDescent="0.4">
      <c r="A12" s="1"/>
      <c r="B12" s="4" t="s">
        <v>11</v>
      </c>
      <c r="C12" s="5"/>
      <c r="D12" s="15">
        <f>(D8*EXP(-D7*D6)*NORMSDIST(-D11))-(D2*EXP(-D5*D6)*NORMSDIST(-D10))</f>
        <v>24.202489159790062</v>
      </c>
      <c r="E12" s="1"/>
      <c r="F12" s="1"/>
      <c r="G12" s="4" t="s">
        <v>12</v>
      </c>
      <c r="H12" s="5"/>
      <c r="I12" s="15">
        <f>(I2*EXP(-I5*I6)*NORMSDIST(I10))-(I8*EXP(-I7*I6)*NORMSDIST(I11))</f>
        <v>25.721920634347626</v>
      </c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</row>
    <row r="13" spans="1:22" ht="18" x14ac:dyDescent="0.35">
      <c r="A13" s="1"/>
      <c r="B13" s="1"/>
      <c r="C13" s="1"/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</row>
    <row r="14" spans="1:22" ht="18.600000000000001" thickBot="1" x14ac:dyDescent="0.4">
      <c r="A14" s="1"/>
      <c r="B14" s="1"/>
      <c r="C14" s="1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</row>
    <row r="15" spans="1:22" ht="18.600000000000001" thickBot="1" x14ac:dyDescent="0.4">
      <c r="A15" s="1"/>
      <c r="B15" s="1"/>
      <c r="C15" s="1"/>
      <c r="D15" s="1"/>
      <c r="E15" s="1"/>
      <c r="F15" s="1" t="s">
        <v>15</v>
      </c>
      <c r="G15" s="4" t="s">
        <v>13</v>
      </c>
      <c r="H15" s="5"/>
      <c r="I15" s="19">
        <f>D12</f>
        <v>24.202489159790062</v>
      </c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</row>
    <row r="16" spans="1:22" ht="18.600000000000001" thickBot="1" x14ac:dyDescent="0.4">
      <c r="A16" s="1"/>
      <c r="B16" s="1"/>
      <c r="C16" s="1"/>
      <c r="D16" s="1"/>
      <c r="E16" s="1"/>
      <c r="F16" s="1"/>
      <c r="G16" s="1"/>
      <c r="H16" s="1"/>
      <c r="I16" s="10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</row>
    <row r="17" spans="1:22" ht="18.600000000000001" thickBot="1" x14ac:dyDescent="0.4">
      <c r="A17" s="1"/>
      <c r="B17" s="1"/>
      <c r="C17" s="1"/>
      <c r="D17" s="1"/>
      <c r="E17" s="1"/>
      <c r="F17" s="1" t="s">
        <v>16</v>
      </c>
      <c r="G17" s="4" t="s">
        <v>14</v>
      </c>
      <c r="H17" s="5"/>
      <c r="I17" s="20">
        <f>I12+I8*EXP(-I7*I6)-I2*EXP(-I5*I6)</f>
        <v>22.433361533138054</v>
      </c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</row>
    <row r="18" spans="1:22" ht="18" x14ac:dyDescent="0.35">
      <c r="A18" s="1"/>
      <c r="B18" s="1"/>
      <c r="C18" s="1"/>
      <c r="D18" s="1"/>
      <c r="E18" s="1"/>
      <c r="F18" s="1"/>
      <c r="G18" s="1"/>
      <c r="H18" s="1"/>
      <c r="I18" s="10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</row>
    <row r="19" spans="1:22" ht="18" x14ac:dyDescent="0.35">
      <c r="A19" s="1"/>
      <c r="B19" s="1"/>
      <c r="C19" s="1"/>
      <c r="D19" s="1"/>
      <c r="E19" s="1"/>
      <c r="F19" s="1"/>
      <c r="G19" s="1"/>
      <c r="H19" s="1"/>
      <c r="I19" s="10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</row>
    <row r="20" spans="1:22" ht="18" x14ac:dyDescent="0.35">
      <c r="A20" s="1"/>
      <c r="B20" s="1"/>
      <c r="C20" s="1"/>
      <c r="D20" s="1"/>
      <c r="E20" s="1"/>
      <c r="F20" s="1"/>
      <c r="G20" s="1"/>
      <c r="H20" s="1"/>
      <c r="I20" s="1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</row>
    <row r="21" spans="1:22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</row>
    <row r="22" spans="1:22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</row>
    <row r="23" spans="1:22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</row>
    <row r="24" spans="1:22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</row>
    <row r="25" spans="1:22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</row>
    <row r="26" spans="1:22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</row>
    <row r="27" spans="1:22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</row>
    <row r="28" spans="1:22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</row>
    <row r="29" spans="1:22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  <c r="T29" s="2"/>
      <c r="U29" s="2"/>
      <c r="V29" s="2"/>
    </row>
    <row r="30" spans="1:22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  <c r="T30" s="2"/>
      <c r="U30" s="2"/>
      <c r="V30" s="2"/>
    </row>
    <row r="31" spans="1:22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</row>
    <row r="32" spans="1:22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</row>
    <row r="33" spans="1:22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</row>
    <row r="34" spans="1:22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</row>
    <row r="35" spans="1:22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</row>
    <row r="36" spans="1:22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2"/>
      <c r="S36" s="2"/>
      <c r="T36" s="2"/>
      <c r="U36" s="2"/>
      <c r="V36" s="2"/>
    </row>
    <row r="37" spans="1:22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  <c r="R37" s="2"/>
      <c r="S37" s="2"/>
      <c r="T37" s="2"/>
      <c r="U37" s="2"/>
      <c r="V37" s="2"/>
    </row>
    <row r="38" spans="1:22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2"/>
      <c r="S38" s="2"/>
      <c r="T38" s="2"/>
      <c r="U38" s="2"/>
      <c r="V38" s="2"/>
    </row>
    <row r="39" spans="1:22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2"/>
      <c r="S39" s="2"/>
      <c r="T39" s="2"/>
      <c r="U39" s="2"/>
      <c r="V39" s="2"/>
    </row>
    <row r="40" spans="1:22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  <c r="R40" s="2"/>
      <c r="S40" s="2"/>
      <c r="T40" s="2"/>
      <c r="U40" s="2"/>
      <c r="V40" s="2"/>
    </row>
    <row r="41" spans="1:22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</row>
    <row r="42" spans="1:22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  <c r="R42" s="2"/>
      <c r="S42" s="2"/>
      <c r="T42" s="2"/>
      <c r="U42" s="2"/>
      <c r="V42" s="2"/>
    </row>
    <row r="43" spans="1:22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  <c r="R43" s="2"/>
      <c r="S43" s="2"/>
      <c r="T43" s="2"/>
      <c r="U43" s="2"/>
      <c r="V43" s="2"/>
    </row>
    <row r="44" spans="1:22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</row>
    <row r="45" spans="1:22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"/>
      <c r="R45" s="2"/>
      <c r="S45" s="2"/>
      <c r="T45" s="2"/>
      <c r="U45" s="2"/>
      <c r="V45" s="2"/>
    </row>
    <row r="46" spans="1:22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222B-DD55-45A7-B74D-005DC8EA5450}">
  <dimension ref="A1:R132"/>
  <sheetViews>
    <sheetView tabSelected="1" topLeftCell="I1" zoomScale="92" zoomScaleNormal="110" workbookViewId="0">
      <selection activeCell="M11" sqref="M11"/>
    </sheetView>
  </sheetViews>
  <sheetFormatPr baseColWidth="10" defaultColWidth="9.21875" defaultRowHeight="13.2" x14ac:dyDescent="0.25"/>
  <cols>
    <col min="1" max="1" width="20.44140625" style="21" bestFit="1" customWidth="1"/>
    <col min="2" max="10" width="9.21875" style="21"/>
    <col min="11" max="11" width="12.44140625" style="21" bestFit="1" customWidth="1"/>
    <col min="12" max="12" width="20.21875" style="21" bestFit="1" customWidth="1"/>
    <col min="13" max="16384" width="9.21875" style="21"/>
  </cols>
  <sheetData>
    <row r="1" spans="1:18" x14ac:dyDescent="0.25">
      <c r="A1" s="106" t="s">
        <v>38</v>
      </c>
      <c r="B1" s="108" t="str">
        <f>M3</f>
        <v>P</v>
      </c>
      <c r="C1" s="108" t="str">
        <f>N3</f>
        <v>P</v>
      </c>
      <c r="D1" s="108" t="str">
        <f>O3</f>
        <v>C</v>
      </c>
      <c r="E1" s="108" t="str">
        <f t="shared" ref="E1" si="0">P3</f>
        <v>C</v>
      </c>
      <c r="F1" s="106" t="str">
        <f>Q3</f>
        <v>C</v>
      </c>
      <c r="G1" s="106" t="str">
        <f>R3</f>
        <v>P</v>
      </c>
      <c r="H1" s="121" t="s">
        <v>37</v>
      </c>
      <c r="M1" s="42" t="s">
        <v>36</v>
      </c>
      <c r="N1" s="42" t="s">
        <v>35</v>
      </c>
      <c r="O1" s="42" t="s">
        <v>34</v>
      </c>
      <c r="P1" s="42" t="s">
        <v>33</v>
      </c>
      <c r="Q1" s="42" t="s">
        <v>40</v>
      </c>
      <c r="R1" s="42" t="s">
        <v>41</v>
      </c>
    </row>
    <row r="2" spans="1:18" x14ac:dyDescent="0.25">
      <c r="A2" s="107"/>
      <c r="B2" s="109"/>
      <c r="C2" s="109"/>
      <c r="D2" s="109"/>
      <c r="E2" s="109"/>
      <c r="F2" s="107"/>
      <c r="G2" s="107"/>
      <c r="H2" s="121"/>
      <c r="K2" s="106" t="s">
        <v>32</v>
      </c>
      <c r="L2" s="40" t="s">
        <v>31</v>
      </c>
      <c r="M2" s="111">
        <v>110</v>
      </c>
      <c r="N2" s="111"/>
      <c r="O2" s="111"/>
      <c r="P2" s="111"/>
      <c r="Q2" s="42"/>
      <c r="R2" s="42"/>
    </row>
    <row r="3" spans="1:18" x14ac:dyDescent="0.25">
      <c r="A3" s="33" t="s">
        <v>30</v>
      </c>
      <c r="B3" s="112" t="s">
        <v>29</v>
      </c>
      <c r="C3" s="113"/>
      <c r="D3" s="113"/>
      <c r="E3" s="114"/>
      <c r="F3" s="40"/>
      <c r="G3" s="40"/>
      <c r="H3" s="106"/>
      <c r="K3" s="110"/>
      <c r="L3" s="38" t="s">
        <v>28</v>
      </c>
      <c r="M3" s="37" t="s">
        <v>27</v>
      </c>
      <c r="N3" s="37" t="s">
        <v>27</v>
      </c>
      <c r="O3" s="37" t="s">
        <v>26</v>
      </c>
      <c r="P3" s="37" t="s">
        <v>26</v>
      </c>
      <c r="Q3" s="43" t="s">
        <v>26</v>
      </c>
      <c r="R3" s="37" t="s">
        <v>27</v>
      </c>
    </row>
    <row r="4" spans="1:18" x14ac:dyDescent="0.25">
      <c r="A4" s="41">
        <v>0</v>
      </c>
      <c r="B4" s="34">
        <f t="shared" ref="B4:B35" si="1">(MAX(IF($B$1="C",1,-1)*(A4-$M$5),0)-IF($M$10="Y",$M$13*EXP($M$6*$M$9),0))*$M$4</f>
        <v>-1680</v>
      </c>
      <c r="C4" s="40">
        <f t="shared" ref="C4:C35" si="2">(MAX(IF($C$1="C",1,-1)*(A4-$N$5),0)-IF($M$10="Y",$N$13*EXP($M$6*$M$9),0))*$N$4</f>
        <v>100</v>
      </c>
      <c r="D4" s="40">
        <f t="shared" ref="D4:D35" si="3">(MAX(IF($D$1="C",1,-1)*(A4-$O$5),0)-IF($M$10="Y",$O$13*EXP($M$6*$M$9),0))*$O$4</f>
        <v>0</v>
      </c>
      <c r="E4" s="40">
        <f t="shared" ref="E4:E35" si="4">(MAX(IF($E$1="C",1,-1)*(A4-$P$5),0)-IF($M$10="Y",$P$13*EXP($M$6*$M$9),0))*$P$4</f>
        <v>0</v>
      </c>
      <c r="F4" s="40">
        <f>(MAX(IF($F$1="C",1,-1)*(A4-$Q$5),0)-IF($M$10="Y",$Q$13*EXP($M$6*$M$9),0))*$Q$4</f>
        <v>0</v>
      </c>
      <c r="G4" s="40">
        <f>(MAX(IF($G$1="C",1,-1)*(A4-$R$5),0)-IF($M$10="Y",$R$13*EXP($M$6*$M$9),0))*$R$4</f>
        <v>1580</v>
      </c>
      <c r="H4" s="39">
        <f>SUM(B4:G4)</f>
        <v>0</v>
      </c>
      <c r="K4" s="110"/>
      <c r="L4" s="38" t="s">
        <v>25</v>
      </c>
      <c r="M4" s="37">
        <v>-21</v>
      </c>
      <c r="N4" s="37">
        <v>1</v>
      </c>
      <c r="O4" s="37">
        <v>1</v>
      </c>
      <c r="P4" s="37">
        <v>-21</v>
      </c>
      <c r="Q4" s="37">
        <v>20</v>
      </c>
      <c r="R4" s="42">
        <v>20</v>
      </c>
    </row>
    <row r="5" spans="1:18" x14ac:dyDescent="0.25">
      <c r="A5" s="22">
        <f>A4+2</f>
        <v>2</v>
      </c>
      <c r="B5" s="27">
        <f t="shared" si="1"/>
        <v>-1638</v>
      </c>
      <c r="C5" s="26">
        <f t="shared" si="2"/>
        <v>98</v>
      </c>
      <c r="D5" s="26">
        <f t="shared" si="3"/>
        <v>0</v>
      </c>
      <c r="E5" s="26">
        <f t="shared" si="4"/>
        <v>0</v>
      </c>
      <c r="F5" s="40">
        <f t="shared" ref="F5:F68" si="5">(MAX(IF($F$1="C",1,-1)*(A5-$Q$5),0)-IF($M$10="Y",$Q$13*EXP($M$6*$M$9),0))*$Q$4</f>
        <v>0</v>
      </c>
      <c r="G5" s="40">
        <f t="shared" ref="G5:G68" si="6">(MAX(IF($G$1="C",1,-1)*(A5-$R$5),0)-IF($M$10="Y",$R$13*EXP($M$6*$M$9),0))*$R$4</f>
        <v>1540</v>
      </c>
      <c r="H5" s="39">
        <f t="shared" ref="H5:H68" si="7">SUM(B5:G5)</f>
        <v>0</v>
      </c>
      <c r="K5" s="110"/>
      <c r="L5" s="26" t="s">
        <v>24</v>
      </c>
      <c r="M5" s="37">
        <v>80</v>
      </c>
      <c r="N5" s="37">
        <v>100</v>
      </c>
      <c r="O5" s="37">
        <v>100</v>
      </c>
      <c r="P5" s="37">
        <v>120</v>
      </c>
      <c r="Q5" s="37">
        <v>121</v>
      </c>
      <c r="R5" s="42">
        <v>79</v>
      </c>
    </row>
    <row r="6" spans="1:18" x14ac:dyDescent="0.25">
      <c r="A6" s="22">
        <f t="shared" ref="A6:A69" si="8">A5+2</f>
        <v>4</v>
      </c>
      <c r="B6" s="27">
        <f t="shared" si="1"/>
        <v>-1596</v>
      </c>
      <c r="C6" s="26">
        <f t="shared" si="2"/>
        <v>96</v>
      </c>
      <c r="D6" s="26">
        <f t="shared" si="3"/>
        <v>0</v>
      </c>
      <c r="E6" s="26">
        <f t="shared" si="4"/>
        <v>0</v>
      </c>
      <c r="F6" s="40">
        <f t="shared" si="5"/>
        <v>0</v>
      </c>
      <c r="G6" s="40">
        <f t="shared" si="6"/>
        <v>1500</v>
      </c>
      <c r="H6" s="39">
        <f t="shared" si="7"/>
        <v>0</v>
      </c>
      <c r="K6" s="110"/>
      <c r="L6" s="26" t="s">
        <v>23</v>
      </c>
      <c r="M6" s="115">
        <v>0.04</v>
      </c>
      <c r="N6" s="116"/>
      <c r="O6" s="116"/>
      <c r="P6" s="117"/>
      <c r="Q6" s="42"/>
      <c r="R6" s="42"/>
    </row>
    <row r="7" spans="1:18" x14ac:dyDescent="0.25">
      <c r="A7" s="22">
        <f t="shared" si="8"/>
        <v>6</v>
      </c>
      <c r="B7" s="27">
        <f t="shared" si="1"/>
        <v>-1554</v>
      </c>
      <c r="C7" s="26">
        <f t="shared" si="2"/>
        <v>94</v>
      </c>
      <c r="D7" s="26">
        <f t="shared" si="3"/>
        <v>0</v>
      </c>
      <c r="E7" s="26">
        <f t="shared" si="4"/>
        <v>0</v>
      </c>
      <c r="F7" s="40">
        <f t="shared" si="5"/>
        <v>0</v>
      </c>
      <c r="G7" s="40">
        <f t="shared" si="6"/>
        <v>1460</v>
      </c>
      <c r="H7" s="39">
        <f t="shared" si="7"/>
        <v>0</v>
      </c>
      <c r="K7" s="110"/>
      <c r="L7" s="26" t="s">
        <v>22</v>
      </c>
      <c r="M7" s="115">
        <v>0.01</v>
      </c>
      <c r="N7" s="116"/>
      <c r="O7" s="116"/>
      <c r="P7" s="117"/>
      <c r="Q7" s="42"/>
      <c r="R7" s="42"/>
    </row>
    <row r="8" spans="1:18" x14ac:dyDescent="0.25">
      <c r="A8" s="22">
        <f t="shared" si="8"/>
        <v>8</v>
      </c>
      <c r="B8" s="27">
        <f t="shared" si="1"/>
        <v>-1512</v>
      </c>
      <c r="C8" s="26">
        <f t="shared" si="2"/>
        <v>92</v>
      </c>
      <c r="D8" s="26">
        <f t="shared" si="3"/>
        <v>0</v>
      </c>
      <c r="E8" s="26">
        <f t="shared" si="4"/>
        <v>0</v>
      </c>
      <c r="F8" s="40">
        <f t="shared" si="5"/>
        <v>0</v>
      </c>
      <c r="G8" s="40">
        <f t="shared" si="6"/>
        <v>1420</v>
      </c>
      <c r="H8" s="39">
        <f t="shared" si="7"/>
        <v>0</v>
      </c>
      <c r="K8" s="110"/>
      <c r="L8" s="26" t="s">
        <v>21</v>
      </c>
      <c r="M8" s="115">
        <v>0.3</v>
      </c>
      <c r="N8" s="116"/>
      <c r="O8" s="116"/>
      <c r="P8" s="117"/>
      <c r="Q8" s="42"/>
      <c r="R8" s="42"/>
    </row>
    <row r="9" spans="1:18" x14ac:dyDescent="0.25">
      <c r="A9" s="22">
        <f t="shared" si="8"/>
        <v>10</v>
      </c>
      <c r="B9" s="27">
        <f t="shared" si="1"/>
        <v>-1470</v>
      </c>
      <c r="C9" s="26">
        <f t="shared" si="2"/>
        <v>90</v>
      </c>
      <c r="D9" s="26">
        <f t="shared" si="3"/>
        <v>0</v>
      </c>
      <c r="E9" s="26">
        <f t="shared" si="4"/>
        <v>0</v>
      </c>
      <c r="F9" s="40">
        <f t="shared" si="5"/>
        <v>0</v>
      </c>
      <c r="G9" s="40">
        <f t="shared" si="6"/>
        <v>1380</v>
      </c>
      <c r="H9" s="39">
        <f t="shared" si="7"/>
        <v>0</v>
      </c>
      <c r="K9" s="110"/>
      <c r="L9" s="23" t="s">
        <v>20</v>
      </c>
      <c r="M9" s="118">
        <f>12/12</f>
        <v>1</v>
      </c>
      <c r="N9" s="119"/>
      <c r="O9" s="119"/>
      <c r="P9" s="120"/>
      <c r="Q9" s="42"/>
      <c r="R9" s="42"/>
    </row>
    <row r="10" spans="1:18" x14ac:dyDescent="0.25">
      <c r="A10" s="22">
        <f t="shared" si="8"/>
        <v>12</v>
      </c>
      <c r="B10" s="27">
        <f t="shared" si="1"/>
        <v>-1428</v>
      </c>
      <c r="C10" s="26">
        <f t="shared" si="2"/>
        <v>88</v>
      </c>
      <c r="D10" s="26">
        <f t="shared" si="3"/>
        <v>0</v>
      </c>
      <c r="E10" s="26">
        <f t="shared" si="4"/>
        <v>0</v>
      </c>
      <c r="F10" s="40">
        <f t="shared" si="5"/>
        <v>0</v>
      </c>
      <c r="G10" s="40">
        <f t="shared" si="6"/>
        <v>1340</v>
      </c>
      <c r="H10" s="39">
        <f t="shared" si="7"/>
        <v>0</v>
      </c>
      <c r="K10" s="107"/>
      <c r="L10" s="36" t="s">
        <v>19</v>
      </c>
      <c r="M10" s="118" t="s">
        <v>39</v>
      </c>
      <c r="N10" s="119"/>
      <c r="O10" s="119"/>
      <c r="P10" s="120"/>
      <c r="Q10" s="42"/>
      <c r="R10" s="42"/>
    </row>
    <row r="11" spans="1:18" x14ac:dyDescent="0.25">
      <c r="A11" s="22">
        <f t="shared" si="8"/>
        <v>14</v>
      </c>
      <c r="B11" s="27">
        <f t="shared" si="1"/>
        <v>-1386</v>
      </c>
      <c r="C11" s="26">
        <f t="shared" si="2"/>
        <v>86</v>
      </c>
      <c r="D11" s="26">
        <f t="shared" si="3"/>
        <v>0</v>
      </c>
      <c r="E11" s="26">
        <f t="shared" si="4"/>
        <v>0</v>
      </c>
      <c r="F11" s="40">
        <f t="shared" si="5"/>
        <v>0</v>
      </c>
      <c r="G11" s="40">
        <f t="shared" si="6"/>
        <v>1300</v>
      </c>
      <c r="H11" s="39">
        <f t="shared" si="7"/>
        <v>0</v>
      </c>
      <c r="K11" s="35" t="s">
        <v>18</v>
      </c>
      <c r="L11" s="34" t="s">
        <v>2</v>
      </c>
      <c r="M11" s="33">
        <f t="shared" ref="M11:R11" si="9">(LN($M$2/M5)+(($M$6-$M$7+(0.5*$M$8*$M$8))*$M$9))/($M$8*SQRT($M$9))</f>
        <v>1.3115124370617821</v>
      </c>
      <c r="N11" s="33">
        <f t="shared" si="9"/>
        <v>0.56770059934774986</v>
      </c>
      <c r="O11" s="33">
        <f t="shared" si="9"/>
        <v>0.56770059934774986</v>
      </c>
      <c r="P11" s="33">
        <f t="shared" si="9"/>
        <v>-4.0037923298766043E-2</v>
      </c>
      <c r="Q11" s="33">
        <f t="shared" si="9"/>
        <v>-6.7700599347749663E-2</v>
      </c>
      <c r="R11" s="33">
        <f t="shared" si="9"/>
        <v>1.3534417110846495</v>
      </c>
    </row>
    <row r="12" spans="1:18" x14ac:dyDescent="0.25">
      <c r="A12" s="22">
        <f t="shared" si="8"/>
        <v>16</v>
      </c>
      <c r="B12" s="27">
        <f t="shared" si="1"/>
        <v>-1344</v>
      </c>
      <c r="C12" s="26">
        <f t="shared" si="2"/>
        <v>84</v>
      </c>
      <c r="D12" s="26">
        <f t="shared" si="3"/>
        <v>0</v>
      </c>
      <c r="E12" s="26">
        <f t="shared" si="4"/>
        <v>0</v>
      </c>
      <c r="F12" s="40">
        <f t="shared" si="5"/>
        <v>0</v>
      </c>
      <c r="G12" s="40">
        <f t="shared" si="6"/>
        <v>1260</v>
      </c>
      <c r="H12" s="39">
        <f t="shared" si="7"/>
        <v>0</v>
      </c>
      <c r="K12" s="32"/>
      <c r="L12" s="27" t="s">
        <v>3</v>
      </c>
      <c r="M12" s="31">
        <f t="shared" ref="M12:R12" si="10">M11-($M$8*SQRT($M$9))</f>
        <v>1.0115124370617821</v>
      </c>
      <c r="N12" s="31">
        <f t="shared" si="10"/>
        <v>0.26770059934774987</v>
      </c>
      <c r="O12" s="31">
        <f t="shared" si="10"/>
        <v>0.26770059934774987</v>
      </c>
      <c r="P12" s="31">
        <f t="shared" si="10"/>
        <v>-0.34003792329876603</v>
      </c>
      <c r="Q12" s="31">
        <f t="shared" si="10"/>
        <v>-0.36770059934774968</v>
      </c>
      <c r="R12" s="31">
        <f t="shared" si="10"/>
        <v>1.0534417110846495</v>
      </c>
    </row>
    <row r="13" spans="1:18" x14ac:dyDescent="0.25">
      <c r="A13" s="22">
        <f t="shared" si="8"/>
        <v>18</v>
      </c>
      <c r="B13" s="27">
        <f t="shared" si="1"/>
        <v>-1302</v>
      </c>
      <c r="C13" s="26">
        <f t="shared" si="2"/>
        <v>82</v>
      </c>
      <c r="D13" s="26">
        <f t="shared" si="3"/>
        <v>0</v>
      </c>
      <c r="E13" s="26">
        <f t="shared" si="4"/>
        <v>0</v>
      </c>
      <c r="F13" s="40">
        <f t="shared" si="5"/>
        <v>0</v>
      </c>
      <c r="G13" s="40">
        <f t="shared" si="6"/>
        <v>1220</v>
      </c>
      <c r="H13" s="39">
        <f t="shared" si="7"/>
        <v>0</v>
      </c>
      <c r="K13" s="30"/>
      <c r="L13" s="29" t="s">
        <v>17</v>
      </c>
      <c r="M13" s="15">
        <f t="shared" ref="M13:R13" si="11">IF(M3="C",($M$2*EXP(-$M$7*$M$9)*NORMSDIST(M11))-(M5*EXP(-$M$6*$M$9)*NORMSDIST(M12)),(-$M$2*EXP(-$M$7*$M$9)*NORMSDIST(-M11))-(-M5*EXP(-$M$6*$M$9)*NORMSDIST(-M12)))</f>
        <v>1.6530087464555852</v>
      </c>
      <c r="N13" s="15">
        <f t="shared" si="11"/>
        <v>6.8487329144049625</v>
      </c>
      <c r="O13" s="15">
        <f t="shared" si="11"/>
        <v>19.675270711581121</v>
      </c>
      <c r="P13" s="15">
        <f t="shared" si="11"/>
        <v>10.410428026973804</v>
      </c>
      <c r="Q13" s="15">
        <f t="shared" si="11"/>
        <v>10.062895602855704</v>
      </c>
      <c r="R13" s="15">
        <f t="shared" si="11"/>
        <v>1.5079753355887586</v>
      </c>
    </row>
    <row r="14" spans="1:18" x14ac:dyDescent="0.25">
      <c r="A14" s="22">
        <f t="shared" si="8"/>
        <v>20</v>
      </c>
      <c r="B14" s="27">
        <f t="shared" si="1"/>
        <v>-1260</v>
      </c>
      <c r="C14" s="26">
        <f t="shared" si="2"/>
        <v>80</v>
      </c>
      <c r="D14" s="26">
        <f t="shared" si="3"/>
        <v>0</v>
      </c>
      <c r="E14" s="26">
        <f t="shared" si="4"/>
        <v>0</v>
      </c>
      <c r="F14" s="40">
        <f t="shared" si="5"/>
        <v>0</v>
      </c>
      <c r="G14" s="40">
        <f t="shared" si="6"/>
        <v>1180</v>
      </c>
      <c r="H14" s="39">
        <f t="shared" si="7"/>
        <v>0</v>
      </c>
      <c r="L14" s="44" t="s">
        <v>42</v>
      </c>
      <c r="M14" s="45">
        <f>SUMPRODUCT(M4:R4,M13:R13)</f>
        <v>4.6092501528581451</v>
      </c>
    </row>
    <row r="15" spans="1:18" x14ac:dyDescent="0.25">
      <c r="A15" s="22">
        <f t="shared" si="8"/>
        <v>22</v>
      </c>
      <c r="B15" s="27">
        <f t="shared" si="1"/>
        <v>-1218</v>
      </c>
      <c r="C15" s="26">
        <f t="shared" si="2"/>
        <v>78</v>
      </c>
      <c r="D15" s="26">
        <f t="shared" si="3"/>
        <v>0</v>
      </c>
      <c r="E15" s="26">
        <f t="shared" si="4"/>
        <v>0</v>
      </c>
      <c r="F15" s="40">
        <f t="shared" si="5"/>
        <v>0</v>
      </c>
      <c r="G15" s="40">
        <f t="shared" si="6"/>
        <v>1140</v>
      </c>
      <c r="H15" s="39">
        <f t="shared" si="7"/>
        <v>0</v>
      </c>
      <c r="K15" s="21" t="s">
        <v>57</v>
      </c>
    </row>
    <row r="16" spans="1:18" x14ac:dyDescent="0.25">
      <c r="A16" s="22">
        <f t="shared" si="8"/>
        <v>24</v>
      </c>
      <c r="B16" s="27">
        <f t="shared" si="1"/>
        <v>-1176</v>
      </c>
      <c r="C16" s="26">
        <f t="shared" si="2"/>
        <v>76</v>
      </c>
      <c r="D16" s="26">
        <f t="shared" si="3"/>
        <v>0</v>
      </c>
      <c r="E16" s="26">
        <f t="shared" si="4"/>
        <v>0</v>
      </c>
      <c r="F16" s="40">
        <f t="shared" si="5"/>
        <v>0</v>
      </c>
      <c r="G16" s="40">
        <f t="shared" si="6"/>
        <v>1100</v>
      </c>
      <c r="H16" s="39">
        <f t="shared" si="7"/>
        <v>0</v>
      </c>
      <c r="K16" s="21" t="s">
        <v>58</v>
      </c>
      <c r="L16" s="45">
        <f>M14/((NORMSDIST(M12)-NORMSDIST(P12))*EXP(-M6*M9))</f>
        <v>10.053129090271755</v>
      </c>
    </row>
    <row r="17" spans="1:11" x14ac:dyDescent="0.25">
      <c r="A17" s="22">
        <f t="shared" si="8"/>
        <v>26</v>
      </c>
      <c r="B17" s="27">
        <f t="shared" si="1"/>
        <v>-1134</v>
      </c>
      <c r="C17" s="26">
        <f t="shared" si="2"/>
        <v>74</v>
      </c>
      <c r="D17" s="26">
        <f t="shared" si="3"/>
        <v>0</v>
      </c>
      <c r="E17" s="26">
        <f t="shared" si="4"/>
        <v>0</v>
      </c>
      <c r="F17" s="40">
        <f t="shared" si="5"/>
        <v>0</v>
      </c>
      <c r="G17" s="40">
        <f t="shared" si="6"/>
        <v>1060</v>
      </c>
      <c r="H17" s="39">
        <f t="shared" si="7"/>
        <v>0</v>
      </c>
    </row>
    <row r="18" spans="1:11" x14ac:dyDescent="0.25">
      <c r="A18" s="22">
        <f t="shared" si="8"/>
        <v>28</v>
      </c>
      <c r="B18" s="27">
        <f t="shared" si="1"/>
        <v>-1092</v>
      </c>
      <c r="C18" s="26">
        <f t="shared" si="2"/>
        <v>72</v>
      </c>
      <c r="D18" s="26">
        <f t="shared" si="3"/>
        <v>0</v>
      </c>
      <c r="E18" s="26">
        <f t="shared" si="4"/>
        <v>0</v>
      </c>
      <c r="F18" s="40">
        <f t="shared" si="5"/>
        <v>0</v>
      </c>
      <c r="G18" s="40">
        <f t="shared" si="6"/>
        <v>1020</v>
      </c>
      <c r="H18" s="39">
        <f t="shared" si="7"/>
        <v>0</v>
      </c>
    </row>
    <row r="19" spans="1:11" x14ac:dyDescent="0.25">
      <c r="A19" s="22">
        <f t="shared" si="8"/>
        <v>30</v>
      </c>
      <c r="B19" s="27">
        <f t="shared" si="1"/>
        <v>-1050</v>
      </c>
      <c r="C19" s="26">
        <f t="shared" si="2"/>
        <v>70</v>
      </c>
      <c r="D19" s="26">
        <f t="shared" si="3"/>
        <v>0</v>
      </c>
      <c r="E19" s="26">
        <f t="shared" si="4"/>
        <v>0</v>
      </c>
      <c r="F19" s="40">
        <f t="shared" si="5"/>
        <v>0</v>
      </c>
      <c r="G19" s="40">
        <f t="shared" si="6"/>
        <v>980</v>
      </c>
      <c r="H19" s="39">
        <f t="shared" si="7"/>
        <v>0</v>
      </c>
    </row>
    <row r="20" spans="1:11" x14ac:dyDescent="0.25">
      <c r="A20" s="22">
        <f t="shared" si="8"/>
        <v>32</v>
      </c>
      <c r="B20" s="27">
        <f t="shared" si="1"/>
        <v>-1008</v>
      </c>
      <c r="C20" s="26">
        <f t="shared" si="2"/>
        <v>68</v>
      </c>
      <c r="D20" s="26">
        <f t="shared" si="3"/>
        <v>0</v>
      </c>
      <c r="E20" s="26">
        <f t="shared" si="4"/>
        <v>0</v>
      </c>
      <c r="F20" s="40">
        <f t="shared" si="5"/>
        <v>0</v>
      </c>
      <c r="G20" s="40">
        <f t="shared" si="6"/>
        <v>940</v>
      </c>
      <c r="H20" s="39">
        <f t="shared" si="7"/>
        <v>0</v>
      </c>
    </row>
    <row r="21" spans="1:11" x14ac:dyDescent="0.25">
      <c r="A21" s="22">
        <f t="shared" si="8"/>
        <v>34</v>
      </c>
      <c r="B21" s="27">
        <f t="shared" si="1"/>
        <v>-966</v>
      </c>
      <c r="C21" s="26">
        <f t="shared" si="2"/>
        <v>66</v>
      </c>
      <c r="D21" s="26">
        <f t="shared" si="3"/>
        <v>0</v>
      </c>
      <c r="E21" s="26">
        <f t="shared" si="4"/>
        <v>0</v>
      </c>
      <c r="F21" s="40">
        <f t="shared" si="5"/>
        <v>0</v>
      </c>
      <c r="G21" s="40">
        <f t="shared" si="6"/>
        <v>900</v>
      </c>
      <c r="H21" s="39">
        <f t="shared" si="7"/>
        <v>0</v>
      </c>
    </row>
    <row r="22" spans="1:11" x14ac:dyDescent="0.25">
      <c r="A22" s="22">
        <f t="shared" si="8"/>
        <v>36</v>
      </c>
      <c r="B22" s="27">
        <f t="shared" si="1"/>
        <v>-924</v>
      </c>
      <c r="C22" s="26">
        <f t="shared" si="2"/>
        <v>64</v>
      </c>
      <c r="D22" s="26">
        <f t="shared" si="3"/>
        <v>0</v>
      </c>
      <c r="E22" s="26">
        <f t="shared" si="4"/>
        <v>0</v>
      </c>
      <c r="F22" s="40">
        <f t="shared" si="5"/>
        <v>0</v>
      </c>
      <c r="G22" s="40">
        <f t="shared" si="6"/>
        <v>860</v>
      </c>
      <c r="H22" s="39">
        <f t="shared" si="7"/>
        <v>0</v>
      </c>
    </row>
    <row r="23" spans="1:11" x14ac:dyDescent="0.25">
      <c r="A23" s="22">
        <f t="shared" si="8"/>
        <v>38</v>
      </c>
      <c r="B23" s="27">
        <f t="shared" si="1"/>
        <v>-882</v>
      </c>
      <c r="C23" s="26">
        <f t="shared" si="2"/>
        <v>62</v>
      </c>
      <c r="D23" s="26">
        <f t="shared" si="3"/>
        <v>0</v>
      </c>
      <c r="E23" s="26">
        <f t="shared" si="4"/>
        <v>0</v>
      </c>
      <c r="F23" s="40">
        <f t="shared" si="5"/>
        <v>0</v>
      </c>
      <c r="G23" s="40">
        <f t="shared" si="6"/>
        <v>820</v>
      </c>
      <c r="H23" s="39">
        <f t="shared" si="7"/>
        <v>0</v>
      </c>
    </row>
    <row r="24" spans="1:11" x14ac:dyDescent="0.25">
      <c r="A24" s="22">
        <f t="shared" si="8"/>
        <v>40</v>
      </c>
      <c r="B24" s="27">
        <f t="shared" si="1"/>
        <v>-840</v>
      </c>
      <c r="C24" s="26">
        <f t="shared" si="2"/>
        <v>60</v>
      </c>
      <c r="D24" s="26">
        <f t="shared" si="3"/>
        <v>0</v>
      </c>
      <c r="E24" s="26">
        <f t="shared" si="4"/>
        <v>0</v>
      </c>
      <c r="F24" s="40">
        <f t="shared" si="5"/>
        <v>0</v>
      </c>
      <c r="G24" s="40">
        <f t="shared" si="6"/>
        <v>780</v>
      </c>
      <c r="H24" s="39">
        <f t="shared" si="7"/>
        <v>0</v>
      </c>
    </row>
    <row r="25" spans="1:11" x14ac:dyDescent="0.25">
      <c r="A25" s="22">
        <f t="shared" si="8"/>
        <v>42</v>
      </c>
      <c r="B25" s="27">
        <f t="shared" si="1"/>
        <v>-798</v>
      </c>
      <c r="C25" s="26">
        <f t="shared" si="2"/>
        <v>58</v>
      </c>
      <c r="D25" s="26">
        <f t="shared" si="3"/>
        <v>0</v>
      </c>
      <c r="E25" s="26">
        <f t="shared" si="4"/>
        <v>0</v>
      </c>
      <c r="F25" s="40">
        <f t="shared" si="5"/>
        <v>0</v>
      </c>
      <c r="G25" s="40">
        <f t="shared" si="6"/>
        <v>740</v>
      </c>
      <c r="H25" s="39">
        <f t="shared" si="7"/>
        <v>0</v>
      </c>
      <c r="K25" s="28"/>
    </row>
    <row r="26" spans="1:11" x14ac:dyDescent="0.25">
      <c r="A26" s="22">
        <f t="shared" si="8"/>
        <v>44</v>
      </c>
      <c r="B26" s="27">
        <f t="shared" si="1"/>
        <v>-756</v>
      </c>
      <c r="C26" s="26">
        <f t="shared" si="2"/>
        <v>56</v>
      </c>
      <c r="D26" s="26">
        <f t="shared" si="3"/>
        <v>0</v>
      </c>
      <c r="E26" s="26">
        <f t="shared" si="4"/>
        <v>0</v>
      </c>
      <c r="F26" s="40">
        <f t="shared" si="5"/>
        <v>0</v>
      </c>
      <c r="G26" s="40">
        <f t="shared" si="6"/>
        <v>700</v>
      </c>
      <c r="H26" s="39">
        <f t="shared" si="7"/>
        <v>0</v>
      </c>
    </row>
    <row r="27" spans="1:11" x14ac:dyDescent="0.25">
      <c r="A27" s="22">
        <f t="shared" si="8"/>
        <v>46</v>
      </c>
      <c r="B27" s="27">
        <f t="shared" si="1"/>
        <v>-714</v>
      </c>
      <c r="C27" s="26">
        <f t="shared" si="2"/>
        <v>54</v>
      </c>
      <c r="D27" s="26">
        <f t="shared" si="3"/>
        <v>0</v>
      </c>
      <c r="E27" s="26">
        <f t="shared" si="4"/>
        <v>0</v>
      </c>
      <c r="F27" s="40">
        <f t="shared" si="5"/>
        <v>0</v>
      </c>
      <c r="G27" s="40">
        <f t="shared" si="6"/>
        <v>660</v>
      </c>
      <c r="H27" s="39">
        <f t="shared" si="7"/>
        <v>0</v>
      </c>
    </row>
    <row r="28" spans="1:11" x14ac:dyDescent="0.25">
      <c r="A28" s="22">
        <f t="shared" si="8"/>
        <v>48</v>
      </c>
      <c r="B28" s="27">
        <f t="shared" si="1"/>
        <v>-672</v>
      </c>
      <c r="C28" s="26">
        <f t="shared" si="2"/>
        <v>52</v>
      </c>
      <c r="D28" s="26">
        <f t="shared" si="3"/>
        <v>0</v>
      </c>
      <c r="E28" s="26">
        <f t="shared" si="4"/>
        <v>0</v>
      </c>
      <c r="F28" s="40">
        <f t="shared" si="5"/>
        <v>0</v>
      </c>
      <c r="G28" s="40">
        <f t="shared" si="6"/>
        <v>620</v>
      </c>
      <c r="H28" s="39">
        <f t="shared" si="7"/>
        <v>0</v>
      </c>
    </row>
    <row r="29" spans="1:11" x14ac:dyDescent="0.25">
      <c r="A29" s="22">
        <f t="shared" si="8"/>
        <v>50</v>
      </c>
      <c r="B29" s="27">
        <f t="shared" si="1"/>
        <v>-630</v>
      </c>
      <c r="C29" s="26">
        <f t="shared" si="2"/>
        <v>50</v>
      </c>
      <c r="D29" s="26">
        <f t="shared" si="3"/>
        <v>0</v>
      </c>
      <c r="E29" s="26">
        <f t="shared" si="4"/>
        <v>0</v>
      </c>
      <c r="F29" s="40">
        <f t="shared" si="5"/>
        <v>0</v>
      </c>
      <c r="G29" s="40">
        <f t="shared" si="6"/>
        <v>580</v>
      </c>
      <c r="H29" s="39">
        <f t="shared" si="7"/>
        <v>0</v>
      </c>
    </row>
    <row r="30" spans="1:11" x14ac:dyDescent="0.25">
      <c r="A30" s="22">
        <f t="shared" si="8"/>
        <v>52</v>
      </c>
      <c r="B30" s="27">
        <f t="shared" si="1"/>
        <v>-588</v>
      </c>
      <c r="C30" s="26">
        <f t="shared" si="2"/>
        <v>48</v>
      </c>
      <c r="D30" s="26">
        <f t="shared" si="3"/>
        <v>0</v>
      </c>
      <c r="E30" s="26">
        <f t="shared" si="4"/>
        <v>0</v>
      </c>
      <c r="F30" s="40">
        <f t="shared" si="5"/>
        <v>0</v>
      </c>
      <c r="G30" s="40">
        <f t="shared" si="6"/>
        <v>540</v>
      </c>
      <c r="H30" s="39">
        <f t="shared" si="7"/>
        <v>0</v>
      </c>
    </row>
    <row r="31" spans="1:11" x14ac:dyDescent="0.25">
      <c r="A31" s="22">
        <f t="shared" si="8"/>
        <v>54</v>
      </c>
      <c r="B31" s="27">
        <f t="shared" si="1"/>
        <v>-546</v>
      </c>
      <c r="C31" s="26">
        <f t="shared" si="2"/>
        <v>46</v>
      </c>
      <c r="D31" s="26">
        <f t="shared" si="3"/>
        <v>0</v>
      </c>
      <c r="E31" s="26">
        <f t="shared" si="4"/>
        <v>0</v>
      </c>
      <c r="F31" s="40">
        <f t="shared" si="5"/>
        <v>0</v>
      </c>
      <c r="G31" s="40">
        <f t="shared" si="6"/>
        <v>500</v>
      </c>
      <c r="H31" s="39">
        <f t="shared" si="7"/>
        <v>0</v>
      </c>
    </row>
    <row r="32" spans="1:11" x14ac:dyDescent="0.25">
      <c r="A32" s="22">
        <f t="shared" si="8"/>
        <v>56</v>
      </c>
      <c r="B32" s="27">
        <f t="shared" si="1"/>
        <v>-504</v>
      </c>
      <c r="C32" s="26">
        <f t="shared" si="2"/>
        <v>44</v>
      </c>
      <c r="D32" s="26">
        <f t="shared" si="3"/>
        <v>0</v>
      </c>
      <c r="E32" s="26">
        <f t="shared" si="4"/>
        <v>0</v>
      </c>
      <c r="F32" s="40">
        <f t="shared" si="5"/>
        <v>0</v>
      </c>
      <c r="G32" s="40">
        <f t="shared" si="6"/>
        <v>460</v>
      </c>
      <c r="H32" s="39">
        <f t="shared" si="7"/>
        <v>0</v>
      </c>
    </row>
    <row r="33" spans="1:8" x14ac:dyDescent="0.25">
      <c r="A33" s="22">
        <f t="shared" si="8"/>
        <v>58</v>
      </c>
      <c r="B33" s="27">
        <f t="shared" si="1"/>
        <v>-462</v>
      </c>
      <c r="C33" s="26">
        <f t="shared" si="2"/>
        <v>42</v>
      </c>
      <c r="D33" s="26">
        <f t="shared" si="3"/>
        <v>0</v>
      </c>
      <c r="E33" s="26">
        <f t="shared" si="4"/>
        <v>0</v>
      </c>
      <c r="F33" s="40">
        <f t="shared" si="5"/>
        <v>0</v>
      </c>
      <c r="G33" s="40">
        <f t="shared" si="6"/>
        <v>420</v>
      </c>
      <c r="H33" s="39">
        <f t="shared" si="7"/>
        <v>0</v>
      </c>
    </row>
    <row r="34" spans="1:8" x14ac:dyDescent="0.25">
      <c r="A34" s="22">
        <f t="shared" si="8"/>
        <v>60</v>
      </c>
      <c r="B34" s="27">
        <f t="shared" si="1"/>
        <v>-420</v>
      </c>
      <c r="C34" s="26">
        <f t="shared" si="2"/>
        <v>40</v>
      </c>
      <c r="D34" s="26">
        <f t="shared" si="3"/>
        <v>0</v>
      </c>
      <c r="E34" s="26">
        <f t="shared" si="4"/>
        <v>0</v>
      </c>
      <c r="F34" s="40">
        <f t="shared" si="5"/>
        <v>0</v>
      </c>
      <c r="G34" s="40">
        <f t="shared" si="6"/>
        <v>380</v>
      </c>
      <c r="H34" s="39">
        <f t="shared" si="7"/>
        <v>0</v>
      </c>
    </row>
    <row r="35" spans="1:8" x14ac:dyDescent="0.25">
      <c r="A35" s="22">
        <f t="shared" si="8"/>
        <v>62</v>
      </c>
      <c r="B35" s="27">
        <f t="shared" si="1"/>
        <v>-378</v>
      </c>
      <c r="C35" s="26">
        <f t="shared" si="2"/>
        <v>38</v>
      </c>
      <c r="D35" s="26">
        <f t="shared" si="3"/>
        <v>0</v>
      </c>
      <c r="E35" s="26">
        <f t="shared" si="4"/>
        <v>0</v>
      </c>
      <c r="F35" s="40">
        <f t="shared" si="5"/>
        <v>0</v>
      </c>
      <c r="G35" s="40">
        <f t="shared" si="6"/>
        <v>340</v>
      </c>
      <c r="H35" s="39">
        <f t="shared" si="7"/>
        <v>0</v>
      </c>
    </row>
    <row r="36" spans="1:8" x14ac:dyDescent="0.25">
      <c r="A36" s="22">
        <f t="shared" si="8"/>
        <v>64</v>
      </c>
      <c r="B36" s="27">
        <f t="shared" ref="B36:B67" si="12">(MAX(IF($B$1="C",1,-1)*(A36-$M$5),0)-IF($M$10="Y",$M$13*EXP($M$6*$M$9),0))*$M$4</f>
        <v>-336</v>
      </c>
      <c r="C36" s="26">
        <f t="shared" ref="C36:C67" si="13">(MAX(IF($C$1="C",1,-1)*(A36-$N$5),0)-IF($M$10="Y",$N$13*EXP($M$6*$M$9),0))*$N$4</f>
        <v>36</v>
      </c>
      <c r="D36" s="26">
        <f t="shared" ref="D36:D67" si="14">(MAX(IF($D$1="C",1,-1)*(A36-$O$5),0)-IF($M$10="Y",$O$13*EXP($M$6*$M$9),0))*$O$4</f>
        <v>0</v>
      </c>
      <c r="E36" s="26">
        <f t="shared" ref="E36:E67" si="15">(MAX(IF($E$1="C",1,-1)*(A36-$P$5),0)-IF($M$10="Y",$P$13*EXP($M$6*$M$9),0))*$P$4</f>
        <v>0</v>
      </c>
      <c r="F36" s="40">
        <f t="shared" si="5"/>
        <v>0</v>
      </c>
      <c r="G36" s="40">
        <f t="shared" si="6"/>
        <v>300</v>
      </c>
      <c r="H36" s="39">
        <f t="shared" si="7"/>
        <v>0</v>
      </c>
    </row>
    <row r="37" spans="1:8" x14ac:dyDescent="0.25">
      <c r="A37" s="22">
        <f t="shared" si="8"/>
        <v>66</v>
      </c>
      <c r="B37" s="27">
        <f t="shared" si="12"/>
        <v>-294</v>
      </c>
      <c r="C37" s="26">
        <f t="shared" si="13"/>
        <v>34</v>
      </c>
      <c r="D37" s="26">
        <f t="shared" si="14"/>
        <v>0</v>
      </c>
      <c r="E37" s="26">
        <f t="shared" si="15"/>
        <v>0</v>
      </c>
      <c r="F37" s="40">
        <f t="shared" si="5"/>
        <v>0</v>
      </c>
      <c r="G37" s="40">
        <f t="shared" si="6"/>
        <v>260</v>
      </c>
      <c r="H37" s="39">
        <f t="shared" si="7"/>
        <v>0</v>
      </c>
    </row>
    <row r="38" spans="1:8" x14ac:dyDescent="0.25">
      <c r="A38" s="22">
        <f t="shared" si="8"/>
        <v>68</v>
      </c>
      <c r="B38" s="27">
        <f t="shared" si="12"/>
        <v>-252</v>
      </c>
      <c r="C38" s="26">
        <f t="shared" si="13"/>
        <v>32</v>
      </c>
      <c r="D38" s="26">
        <f t="shared" si="14"/>
        <v>0</v>
      </c>
      <c r="E38" s="26">
        <f t="shared" si="15"/>
        <v>0</v>
      </c>
      <c r="F38" s="40">
        <f t="shared" si="5"/>
        <v>0</v>
      </c>
      <c r="G38" s="40">
        <f t="shared" si="6"/>
        <v>220</v>
      </c>
      <c r="H38" s="39">
        <f t="shared" si="7"/>
        <v>0</v>
      </c>
    </row>
    <row r="39" spans="1:8" x14ac:dyDescent="0.25">
      <c r="A39" s="22">
        <f t="shared" si="8"/>
        <v>70</v>
      </c>
      <c r="B39" s="27">
        <f t="shared" si="12"/>
        <v>-210</v>
      </c>
      <c r="C39" s="26">
        <f t="shared" si="13"/>
        <v>30</v>
      </c>
      <c r="D39" s="26">
        <f t="shared" si="14"/>
        <v>0</v>
      </c>
      <c r="E39" s="26">
        <f t="shared" si="15"/>
        <v>0</v>
      </c>
      <c r="F39" s="40">
        <f t="shared" si="5"/>
        <v>0</v>
      </c>
      <c r="G39" s="40">
        <f t="shared" si="6"/>
        <v>180</v>
      </c>
      <c r="H39" s="39">
        <f t="shared" si="7"/>
        <v>0</v>
      </c>
    </row>
    <row r="40" spans="1:8" x14ac:dyDescent="0.25">
      <c r="A40" s="22">
        <f t="shared" si="8"/>
        <v>72</v>
      </c>
      <c r="B40" s="27">
        <f t="shared" si="12"/>
        <v>-168</v>
      </c>
      <c r="C40" s="26">
        <f t="shared" si="13"/>
        <v>28</v>
      </c>
      <c r="D40" s="26">
        <f t="shared" si="14"/>
        <v>0</v>
      </c>
      <c r="E40" s="26">
        <f t="shared" si="15"/>
        <v>0</v>
      </c>
      <c r="F40" s="40">
        <f t="shared" si="5"/>
        <v>0</v>
      </c>
      <c r="G40" s="40">
        <f t="shared" si="6"/>
        <v>140</v>
      </c>
      <c r="H40" s="39">
        <f t="shared" si="7"/>
        <v>0</v>
      </c>
    </row>
    <row r="41" spans="1:8" x14ac:dyDescent="0.25">
      <c r="A41" s="22">
        <f t="shared" si="8"/>
        <v>74</v>
      </c>
      <c r="B41" s="27">
        <f t="shared" si="12"/>
        <v>-126</v>
      </c>
      <c r="C41" s="26">
        <f t="shared" si="13"/>
        <v>26</v>
      </c>
      <c r="D41" s="26">
        <f t="shared" si="14"/>
        <v>0</v>
      </c>
      <c r="E41" s="26">
        <f t="shared" si="15"/>
        <v>0</v>
      </c>
      <c r="F41" s="40">
        <f t="shared" si="5"/>
        <v>0</v>
      </c>
      <c r="G41" s="40">
        <f t="shared" si="6"/>
        <v>100</v>
      </c>
      <c r="H41" s="39">
        <f t="shared" si="7"/>
        <v>0</v>
      </c>
    </row>
    <row r="42" spans="1:8" x14ac:dyDescent="0.25">
      <c r="A42" s="22">
        <f t="shared" si="8"/>
        <v>76</v>
      </c>
      <c r="B42" s="27">
        <f t="shared" si="12"/>
        <v>-84</v>
      </c>
      <c r="C42" s="26">
        <f t="shared" si="13"/>
        <v>24</v>
      </c>
      <c r="D42" s="26">
        <f t="shared" si="14"/>
        <v>0</v>
      </c>
      <c r="E42" s="26">
        <f t="shared" si="15"/>
        <v>0</v>
      </c>
      <c r="F42" s="40">
        <f t="shared" si="5"/>
        <v>0</v>
      </c>
      <c r="G42" s="40">
        <f t="shared" si="6"/>
        <v>60</v>
      </c>
      <c r="H42" s="39">
        <f t="shared" si="7"/>
        <v>0</v>
      </c>
    </row>
    <row r="43" spans="1:8" x14ac:dyDescent="0.25">
      <c r="A43" s="22">
        <f t="shared" si="8"/>
        <v>78</v>
      </c>
      <c r="B43" s="27">
        <f t="shared" si="12"/>
        <v>-42</v>
      </c>
      <c r="C43" s="26">
        <f t="shared" si="13"/>
        <v>22</v>
      </c>
      <c r="D43" s="26">
        <f t="shared" si="14"/>
        <v>0</v>
      </c>
      <c r="E43" s="26">
        <f t="shared" si="15"/>
        <v>0</v>
      </c>
      <c r="F43" s="40">
        <f t="shared" si="5"/>
        <v>0</v>
      </c>
      <c r="G43" s="40">
        <f t="shared" si="6"/>
        <v>20</v>
      </c>
      <c r="H43" s="39">
        <f t="shared" si="7"/>
        <v>0</v>
      </c>
    </row>
    <row r="44" spans="1:8" x14ac:dyDescent="0.25">
      <c r="A44" s="22">
        <f t="shared" si="8"/>
        <v>80</v>
      </c>
      <c r="B44" s="27">
        <f t="shared" si="12"/>
        <v>0</v>
      </c>
      <c r="C44" s="26">
        <f t="shared" si="13"/>
        <v>20</v>
      </c>
      <c r="D44" s="26">
        <f t="shared" si="14"/>
        <v>0</v>
      </c>
      <c r="E44" s="26">
        <f t="shared" si="15"/>
        <v>0</v>
      </c>
      <c r="F44" s="40">
        <f t="shared" si="5"/>
        <v>0</v>
      </c>
      <c r="G44" s="40">
        <f t="shared" si="6"/>
        <v>0</v>
      </c>
      <c r="H44" s="39">
        <f t="shared" si="7"/>
        <v>20</v>
      </c>
    </row>
    <row r="45" spans="1:8" x14ac:dyDescent="0.25">
      <c r="A45" s="22">
        <f t="shared" si="8"/>
        <v>82</v>
      </c>
      <c r="B45" s="27">
        <f t="shared" si="12"/>
        <v>0</v>
      </c>
      <c r="C45" s="26">
        <f t="shared" si="13"/>
        <v>18</v>
      </c>
      <c r="D45" s="26">
        <f t="shared" si="14"/>
        <v>0</v>
      </c>
      <c r="E45" s="26">
        <f t="shared" si="15"/>
        <v>0</v>
      </c>
      <c r="F45" s="40">
        <f t="shared" si="5"/>
        <v>0</v>
      </c>
      <c r="G45" s="40">
        <f t="shared" si="6"/>
        <v>0</v>
      </c>
      <c r="H45" s="39">
        <f t="shared" si="7"/>
        <v>18</v>
      </c>
    </row>
    <row r="46" spans="1:8" x14ac:dyDescent="0.25">
      <c r="A46" s="22">
        <f t="shared" si="8"/>
        <v>84</v>
      </c>
      <c r="B46" s="27">
        <f t="shared" si="12"/>
        <v>0</v>
      </c>
      <c r="C46" s="26">
        <f t="shared" si="13"/>
        <v>16</v>
      </c>
      <c r="D46" s="26">
        <f t="shared" si="14"/>
        <v>0</v>
      </c>
      <c r="E46" s="26">
        <f t="shared" si="15"/>
        <v>0</v>
      </c>
      <c r="F46" s="40">
        <f t="shared" si="5"/>
        <v>0</v>
      </c>
      <c r="G46" s="40">
        <f t="shared" si="6"/>
        <v>0</v>
      </c>
      <c r="H46" s="39">
        <f t="shared" si="7"/>
        <v>16</v>
      </c>
    </row>
    <row r="47" spans="1:8" x14ac:dyDescent="0.25">
      <c r="A47" s="22">
        <f t="shared" si="8"/>
        <v>86</v>
      </c>
      <c r="B47" s="27">
        <f t="shared" si="12"/>
        <v>0</v>
      </c>
      <c r="C47" s="26">
        <f t="shared" si="13"/>
        <v>14</v>
      </c>
      <c r="D47" s="26">
        <f t="shared" si="14"/>
        <v>0</v>
      </c>
      <c r="E47" s="26">
        <f t="shared" si="15"/>
        <v>0</v>
      </c>
      <c r="F47" s="40">
        <f t="shared" si="5"/>
        <v>0</v>
      </c>
      <c r="G47" s="40">
        <f t="shared" si="6"/>
        <v>0</v>
      </c>
      <c r="H47" s="39">
        <f t="shared" si="7"/>
        <v>14</v>
      </c>
    </row>
    <row r="48" spans="1:8" x14ac:dyDescent="0.25">
      <c r="A48" s="22">
        <f t="shared" si="8"/>
        <v>88</v>
      </c>
      <c r="B48" s="27">
        <f t="shared" si="12"/>
        <v>0</v>
      </c>
      <c r="C48" s="26">
        <f t="shared" si="13"/>
        <v>12</v>
      </c>
      <c r="D48" s="26">
        <f t="shared" si="14"/>
        <v>0</v>
      </c>
      <c r="E48" s="26">
        <f t="shared" si="15"/>
        <v>0</v>
      </c>
      <c r="F48" s="40">
        <f t="shared" si="5"/>
        <v>0</v>
      </c>
      <c r="G48" s="40">
        <f t="shared" si="6"/>
        <v>0</v>
      </c>
      <c r="H48" s="39">
        <f t="shared" si="7"/>
        <v>12</v>
      </c>
    </row>
    <row r="49" spans="1:8" x14ac:dyDescent="0.25">
      <c r="A49" s="22">
        <f t="shared" si="8"/>
        <v>90</v>
      </c>
      <c r="B49" s="27">
        <f t="shared" si="12"/>
        <v>0</v>
      </c>
      <c r="C49" s="26">
        <f t="shared" si="13"/>
        <v>10</v>
      </c>
      <c r="D49" s="26">
        <f t="shared" si="14"/>
        <v>0</v>
      </c>
      <c r="E49" s="26">
        <f t="shared" si="15"/>
        <v>0</v>
      </c>
      <c r="F49" s="40">
        <f t="shared" si="5"/>
        <v>0</v>
      </c>
      <c r="G49" s="40">
        <f t="shared" si="6"/>
        <v>0</v>
      </c>
      <c r="H49" s="39">
        <f t="shared" si="7"/>
        <v>10</v>
      </c>
    </row>
    <row r="50" spans="1:8" x14ac:dyDescent="0.25">
      <c r="A50" s="22">
        <f t="shared" si="8"/>
        <v>92</v>
      </c>
      <c r="B50" s="27">
        <f t="shared" si="12"/>
        <v>0</v>
      </c>
      <c r="C50" s="26">
        <f t="shared" si="13"/>
        <v>8</v>
      </c>
      <c r="D50" s="26">
        <f t="shared" si="14"/>
        <v>0</v>
      </c>
      <c r="E50" s="26">
        <f t="shared" si="15"/>
        <v>0</v>
      </c>
      <c r="F50" s="40">
        <f t="shared" si="5"/>
        <v>0</v>
      </c>
      <c r="G50" s="40">
        <f t="shared" si="6"/>
        <v>0</v>
      </c>
      <c r="H50" s="39">
        <f t="shared" si="7"/>
        <v>8</v>
      </c>
    </row>
    <row r="51" spans="1:8" x14ac:dyDescent="0.25">
      <c r="A51" s="22">
        <f t="shared" si="8"/>
        <v>94</v>
      </c>
      <c r="B51" s="27">
        <f t="shared" si="12"/>
        <v>0</v>
      </c>
      <c r="C51" s="26">
        <f t="shared" si="13"/>
        <v>6</v>
      </c>
      <c r="D51" s="26">
        <f t="shared" si="14"/>
        <v>0</v>
      </c>
      <c r="E51" s="26">
        <f t="shared" si="15"/>
        <v>0</v>
      </c>
      <c r="F51" s="40">
        <f t="shared" si="5"/>
        <v>0</v>
      </c>
      <c r="G51" s="40">
        <f t="shared" si="6"/>
        <v>0</v>
      </c>
      <c r="H51" s="39">
        <f t="shared" si="7"/>
        <v>6</v>
      </c>
    </row>
    <row r="52" spans="1:8" x14ac:dyDescent="0.25">
      <c r="A52" s="22">
        <f t="shared" si="8"/>
        <v>96</v>
      </c>
      <c r="B52" s="27">
        <f t="shared" si="12"/>
        <v>0</v>
      </c>
      <c r="C52" s="26">
        <f t="shared" si="13"/>
        <v>4</v>
      </c>
      <c r="D52" s="26">
        <f t="shared" si="14"/>
        <v>0</v>
      </c>
      <c r="E52" s="26">
        <f t="shared" si="15"/>
        <v>0</v>
      </c>
      <c r="F52" s="40">
        <f t="shared" si="5"/>
        <v>0</v>
      </c>
      <c r="G52" s="40">
        <f t="shared" si="6"/>
        <v>0</v>
      </c>
      <c r="H52" s="39">
        <f t="shared" si="7"/>
        <v>4</v>
      </c>
    </row>
    <row r="53" spans="1:8" x14ac:dyDescent="0.25">
      <c r="A53" s="22">
        <f t="shared" si="8"/>
        <v>98</v>
      </c>
      <c r="B53" s="27">
        <f t="shared" si="12"/>
        <v>0</v>
      </c>
      <c r="C53" s="26">
        <f t="shared" si="13"/>
        <v>2</v>
      </c>
      <c r="D53" s="26">
        <f t="shared" si="14"/>
        <v>0</v>
      </c>
      <c r="E53" s="26">
        <f t="shared" si="15"/>
        <v>0</v>
      </c>
      <c r="F53" s="40">
        <f t="shared" si="5"/>
        <v>0</v>
      </c>
      <c r="G53" s="40">
        <f t="shared" si="6"/>
        <v>0</v>
      </c>
      <c r="H53" s="39">
        <f t="shared" si="7"/>
        <v>2</v>
      </c>
    </row>
    <row r="54" spans="1:8" x14ac:dyDescent="0.25">
      <c r="A54" s="22">
        <f t="shared" si="8"/>
        <v>100</v>
      </c>
      <c r="B54" s="27">
        <f t="shared" si="12"/>
        <v>0</v>
      </c>
      <c r="C54" s="26">
        <f t="shared" si="13"/>
        <v>0</v>
      </c>
      <c r="D54" s="26">
        <f t="shared" si="14"/>
        <v>0</v>
      </c>
      <c r="E54" s="26">
        <f t="shared" si="15"/>
        <v>0</v>
      </c>
      <c r="F54" s="40">
        <f t="shared" si="5"/>
        <v>0</v>
      </c>
      <c r="G54" s="40">
        <f t="shared" si="6"/>
        <v>0</v>
      </c>
      <c r="H54" s="39">
        <f t="shared" si="7"/>
        <v>0</v>
      </c>
    </row>
    <row r="55" spans="1:8" x14ac:dyDescent="0.25">
      <c r="A55" s="22">
        <f t="shared" si="8"/>
        <v>102</v>
      </c>
      <c r="B55" s="27">
        <f t="shared" si="12"/>
        <v>0</v>
      </c>
      <c r="C55" s="26">
        <f t="shared" si="13"/>
        <v>0</v>
      </c>
      <c r="D55" s="26">
        <f t="shared" si="14"/>
        <v>2</v>
      </c>
      <c r="E55" s="26">
        <f t="shared" si="15"/>
        <v>0</v>
      </c>
      <c r="F55" s="40">
        <f t="shared" si="5"/>
        <v>0</v>
      </c>
      <c r="G55" s="40">
        <f t="shared" si="6"/>
        <v>0</v>
      </c>
      <c r="H55" s="39">
        <f t="shared" si="7"/>
        <v>2</v>
      </c>
    </row>
    <row r="56" spans="1:8" x14ac:dyDescent="0.25">
      <c r="A56" s="22">
        <f t="shared" si="8"/>
        <v>104</v>
      </c>
      <c r="B56" s="27">
        <f t="shared" si="12"/>
        <v>0</v>
      </c>
      <c r="C56" s="26">
        <f t="shared" si="13"/>
        <v>0</v>
      </c>
      <c r="D56" s="26">
        <f t="shared" si="14"/>
        <v>4</v>
      </c>
      <c r="E56" s="26">
        <f t="shared" si="15"/>
        <v>0</v>
      </c>
      <c r="F56" s="40">
        <f t="shared" si="5"/>
        <v>0</v>
      </c>
      <c r="G56" s="40">
        <f t="shared" si="6"/>
        <v>0</v>
      </c>
      <c r="H56" s="39">
        <f t="shared" si="7"/>
        <v>4</v>
      </c>
    </row>
    <row r="57" spans="1:8" x14ac:dyDescent="0.25">
      <c r="A57" s="22">
        <f t="shared" si="8"/>
        <v>106</v>
      </c>
      <c r="B57" s="27">
        <f t="shared" si="12"/>
        <v>0</v>
      </c>
      <c r="C57" s="26">
        <f t="shared" si="13"/>
        <v>0</v>
      </c>
      <c r="D57" s="26">
        <f t="shared" si="14"/>
        <v>6</v>
      </c>
      <c r="E57" s="26">
        <f t="shared" si="15"/>
        <v>0</v>
      </c>
      <c r="F57" s="40">
        <f t="shared" si="5"/>
        <v>0</v>
      </c>
      <c r="G57" s="40">
        <f t="shared" si="6"/>
        <v>0</v>
      </c>
      <c r="H57" s="39">
        <f t="shared" si="7"/>
        <v>6</v>
      </c>
    </row>
    <row r="58" spans="1:8" x14ac:dyDescent="0.25">
      <c r="A58" s="22">
        <f t="shared" si="8"/>
        <v>108</v>
      </c>
      <c r="B58" s="27">
        <f t="shared" si="12"/>
        <v>0</v>
      </c>
      <c r="C58" s="26">
        <f t="shared" si="13"/>
        <v>0</v>
      </c>
      <c r="D58" s="26">
        <f t="shared" si="14"/>
        <v>8</v>
      </c>
      <c r="E58" s="26">
        <f t="shared" si="15"/>
        <v>0</v>
      </c>
      <c r="F58" s="40">
        <f t="shared" si="5"/>
        <v>0</v>
      </c>
      <c r="G58" s="40">
        <f t="shared" si="6"/>
        <v>0</v>
      </c>
      <c r="H58" s="39">
        <f t="shared" si="7"/>
        <v>8</v>
      </c>
    </row>
    <row r="59" spans="1:8" x14ac:dyDescent="0.25">
      <c r="A59" s="22">
        <f t="shared" si="8"/>
        <v>110</v>
      </c>
      <c r="B59" s="27">
        <f t="shared" si="12"/>
        <v>0</v>
      </c>
      <c r="C59" s="26">
        <f t="shared" si="13"/>
        <v>0</v>
      </c>
      <c r="D59" s="26">
        <f t="shared" si="14"/>
        <v>10</v>
      </c>
      <c r="E59" s="26">
        <f t="shared" si="15"/>
        <v>0</v>
      </c>
      <c r="F59" s="40">
        <f t="shared" si="5"/>
        <v>0</v>
      </c>
      <c r="G59" s="40">
        <f t="shared" si="6"/>
        <v>0</v>
      </c>
      <c r="H59" s="39">
        <f t="shared" si="7"/>
        <v>10</v>
      </c>
    </row>
    <row r="60" spans="1:8" x14ac:dyDescent="0.25">
      <c r="A60" s="22">
        <f t="shared" si="8"/>
        <v>112</v>
      </c>
      <c r="B60" s="27">
        <f t="shared" si="12"/>
        <v>0</v>
      </c>
      <c r="C60" s="26">
        <f t="shared" si="13"/>
        <v>0</v>
      </c>
      <c r="D60" s="26">
        <f t="shared" si="14"/>
        <v>12</v>
      </c>
      <c r="E60" s="26">
        <f t="shared" si="15"/>
        <v>0</v>
      </c>
      <c r="F60" s="40">
        <f t="shared" si="5"/>
        <v>0</v>
      </c>
      <c r="G60" s="40">
        <f t="shared" si="6"/>
        <v>0</v>
      </c>
      <c r="H60" s="39">
        <f t="shared" si="7"/>
        <v>12</v>
      </c>
    </row>
    <row r="61" spans="1:8" x14ac:dyDescent="0.25">
      <c r="A61" s="22">
        <f t="shared" si="8"/>
        <v>114</v>
      </c>
      <c r="B61" s="27">
        <f t="shared" si="12"/>
        <v>0</v>
      </c>
      <c r="C61" s="26">
        <f t="shared" si="13"/>
        <v>0</v>
      </c>
      <c r="D61" s="26">
        <f t="shared" si="14"/>
        <v>14</v>
      </c>
      <c r="E61" s="26">
        <f t="shared" si="15"/>
        <v>0</v>
      </c>
      <c r="F61" s="40">
        <f t="shared" si="5"/>
        <v>0</v>
      </c>
      <c r="G61" s="40">
        <f t="shared" si="6"/>
        <v>0</v>
      </c>
      <c r="H61" s="39">
        <f t="shared" si="7"/>
        <v>14</v>
      </c>
    </row>
    <row r="62" spans="1:8" x14ac:dyDescent="0.25">
      <c r="A62" s="22">
        <f t="shared" si="8"/>
        <v>116</v>
      </c>
      <c r="B62" s="27">
        <f t="shared" si="12"/>
        <v>0</v>
      </c>
      <c r="C62" s="26">
        <f t="shared" si="13"/>
        <v>0</v>
      </c>
      <c r="D62" s="26">
        <f t="shared" si="14"/>
        <v>16</v>
      </c>
      <c r="E62" s="26">
        <f t="shared" si="15"/>
        <v>0</v>
      </c>
      <c r="F62" s="40">
        <f t="shared" si="5"/>
        <v>0</v>
      </c>
      <c r="G62" s="40">
        <f t="shared" si="6"/>
        <v>0</v>
      </c>
      <c r="H62" s="39">
        <f t="shared" si="7"/>
        <v>16</v>
      </c>
    </row>
    <row r="63" spans="1:8" x14ac:dyDescent="0.25">
      <c r="A63" s="22">
        <f t="shared" si="8"/>
        <v>118</v>
      </c>
      <c r="B63" s="27">
        <f t="shared" si="12"/>
        <v>0</v>
      </c>
      <c r="C63" s="26">
        <f t="shared" si="13"/>
        <v>0</v>
      </c>
      <c r="D63" s="26">
        <f t="shared" si="14"/>
        <v>18</v>
      </c>
      <c r="E63" s="26">
        <f t="shared" si="15"/>
        <v>0</v>
      </c>
      <c r="F63" s="40">
        <f t="shared" si="5"/>
        <v>0</v>
      </c>
      <c r="G63" s="40">
        <f t="shared" si="6"/>
        <v>0</v>
      </c>
      <c r="H63" s="39">
        <f t="shared" si="7"/>
        <v>18</v>
      </c>
    </row>
    <row r="64" spans="1:8" x14ac:dyDescent="0.25">
      <c r="A64" s="22">
        <f t="shared" si="8"/>
        <v>120</v>
      </c>
      <c r="B64" s="27">
        <f t="shared" si="12"/>
        <v>0</v>
      </c>
      <c r="C64" s="26">
        <f t="shared" si="13"/>
        <v>0</v>
      </c>
      <c r="D64" s="26">
        <f t="shared" si="14"/>
        <v>20</v>
      </c>
      <c r="E64" s="26">
        <f t="shared" si="15"/>
        <v>0</v>
      </c>
      <c r="F64" s="40">
        <f t="shared" si="5"/>
        <v>0</v>
      </c>
      <c r="G64" s="40">
        <f t="shared" si="6"/>
        <v>0</v>
      </c>
      <c r="H64" s="39">
        <f t="shared" si="7"/>
        <v>20</v>
      </c>
    </row>
    <row r="65" spans="1:8" x14ac:dyDescent="0.25">
      <c r="A65" s="22">
        <f t="shared" si="8"/>
        <v>122</v>
      </c>
      <c r="B65" s="27">
        <f t="shared" si="12"/>
        <v>0</v>
      </c>
      <c r="C65" s="26">
        <f t="shared" si="13"/>
        <v>0</v>
      </c>
      <c r="D65" s="26">
        <f t="shared" si="14"/>
        <v>22</v>
      </c>
      <c r="E65" s="26">
        <f t="shared" si="15"/>
        <v>-42</v>
      </c>
      <c r="F65" s="40">
        <f t="shared" si="5"/>
        <v>20</v>
      </c>
      <c r="G65" s="40">
        <f t="shared" si="6"/>
        <v>0</v>
      </c>
      <c r="H65" s="39">
        <f t="shared" si="7"/>
        <v>0</v>
      </c>
    </row>
    <row r="66" spans="1:8" x14ac:dyDescent="0.25">
      <c r="A66" s="22">
        <f t="shared" si="8"/>
        <v>124</v>
      </c>
      <c r="B66" s="27">
        <f t="shared" si="12"/>
        <v>0</v>
      </c>
      <c r="C66" s="26">
        <f t="shared" si="13"/>
        <v>0</v>
      </c>
      <c r="D66" s="26">
        <f t="shared" si="14"/>
        <v>24</v>
      </c>
      <c r="E66" s="26">
        <f t="shared" si="15"/>
        <v>-84</v>
      </c>
      <c r="F66" s="40">
        <f t="shared" si="5"/>
        <v>60</v>
      </c>
      <c r="G66" s="40">
        <f t="shared" si="6"/>
        <v>0</v>
      </c>
      <c r="H66" s="39">
        <f t="shared" si="7"/>
        <v>0</v>
      </c>
    </row>
    <row r="67" spans="1:8" x14ac:dyDescent="0.25">
      <c r="A67" s="22">
        <f t="shared" si="8"/>
        <v>126</v>
      </c>
      <c r="B67" s="27">
        <f t="shared" si="12"/>
        <v>0</v>
      </c>
      <c r="C67" s="26">
        <f t="shared" si="13"/>
        <v>0</v>
      </c>
      <c r="D67" s="26">
        <f t="shared" si="14"/>
        <v>26</v>
      </c>
      <c r="E67" s="26">
        <f t="shared" si="15"/>
        <v>-126</v>
      </c>
      <c r="F67" s="40">
        <f t="shared" si="5"/>
        <v>100</v>
      </c>
      <c r="G67" s="40">
        <f t="shared" si="6"/>
        <v>0</v>
      </c>
      <c r="H67" s="39">
        <f t="shared" si="7"/>
        <v>0</v>
      </c>
    </row>
    <row r="68" spans="1:8" x14ac:dyDescent="0.25">
      <c r="A68" s="22">
        <f t="shared" si="8"/>
        <v>128</v>
      </c>
      <c r="B68" s="27">
        <f t="shared" ref="B68:B99" si="16">(MAX(IF($B$1="C",1,-1)*(A68-$M$5),0)-IF($M$10="Y",$M$13*EXP($M$6*$M$9),0))*$M$4</f>
        <v>0</v>
      </c>
      <c r="C68" s="26">
        <f t="shared" ref="C68:C104" si="17">(MAX(IF($C$1="C",1,-1)*(A68-$N$5),0)-IF($M$10="Y",$N$13*EXP($M$6*$M$9),0))*$N$4</f>
        <v>0</v>
      </c>
      <c r="D68" s="26">
        <f t="shared" ref="D68:D104" si="18">(MAX(IF($D$1="C",1,-1)*(A68-$O$5),0)-IF($M$10="Y",$O$13*EXP($M$6*$M$9),0))*$O$4</f>
        <v>28</v>
      </c>
      <c r="E68" s="26">
        <f t="shared" ref="E68:E104" si="19">(MAX(IF($E$1="C",1,-1)*(A68-$P$5),0)-IF($M$10="Y",$P$13*EXP($M$6*$M$9),0))*$P$4</f>
        <v>-168</v>
      </c>
      <c r="F68" s="40">
        <f t="shared" si="5"/>
        <v>140</v>
      </c>
      <c r="G68" s="40">
        <f t="shared" si="6"/>
        <v>0</v>
      </c>
      <c r="H68" s="39">
        <f t="shared" si="7"/>
        <v>0</v>
      </c>
    </row>
    <row r="69" spans="1:8" x14ac:dyDescent="0.25">
      <c r="A69" s="22">
        <f t="shared" si="8"/>
        <v>130</v>
      </c>
      <c r="B69" s="27">
        <f t="shared" si="16"/>
        <v>0</v>
      </c>
      <c r="C69" s="26">
        <f t="shared" si="17"/>
        <v>0</v>
      </c>
      <c r="D69" s="26">
        <f t="shared" si="18"/>
        <v>30</v>
      </c>
      <c r="E69" s="26">
        <f t="shared" si="19"/>
        <v>-210</v>
      </c>
      <c r="F69" s="40">
        <f t="shared" ref="F69:F104" si="20">(MAX(IF($F$1="C",1,-1)*(A69-$Q$5),0)-IF($M$10="Y",$Q$13*EXP($M$6*$M$9),0))*$Q$4</f>
        <v>180</v>
      </c>
      <c r="G69" s="40">
        <f t="shared" ref="G69:G104" si="21">(MAX(IF($G$1="C",1,-1)*(A69-$R$5),0)-IF($M$10="Y",$R$13*EXP($M$6*$M$9),0))*$R$4</f>
        <v>0</v>
      </c>
      <c r="H69" s="39">
        <f t="shared" ref="H69:H104" si="22">SUM(B69:G69)</f>
        <v>0</v>
      </c>
    </row>
    <row r="70" spans="1:8" x14ac:dyDescent="0.25">
      <c r="A70" s="22">
        <f t="shared" ref="A70:A104" si="23">A69+2</f>
        <v>132</v>
      </c>
      <c r="B70" s="27">
        <f t="shared" si="16"/>
        <v>0</v>
      </c>
      <c r="C70" s="26">
        <f t="shared" si="17"/>
        <v>0</v>
      </c>
      <c r="D70" s="26">
        <f t="shared" si="18"/>
        <v>32</v>
      </c>
      <c r="E70" s="26">
        <f t="shared" si="19"/>
        <v>-252</v>
      </c>
      <c r="F70" s="40">
        <f t="shared" si="20"/>
        <v>220</v>
      </c>
      <c r="G70" s="40">
        <f t="shared" si="21"/>
        <v>0</v>
      </c>
      <c r="H70" s="39">
        <f t="shared" si="22"/>
        <v>0</v>
      </c>
    </row>
    <row r="71" spans="1:8" x14ac:dyDescent="0.25">
      <c r="A71" s="22">
        <f t="shared" si="23"/>
        <v>134</v>
      </c>
      <c r="B71" s="27">
        <f t="shared" si="16"/>
        <v>0</v>
      </c>
      <c r="C71" s="26">
        <f t="shared" si="17"/>
        <v>0</v>
      </c>
      <c r="D71" s="26">
        <f t="shared" si="18"/>
        <v>34</v>
      </c>
      <c r="E71" s="26">
        <f t="shared" si="19"/>
        <v>-294</v>
      </c>
      <c r="F71" s="40">
        <f t="shared" si="20"/>
        <v>260</v>
      </c>
      <c r="G71" s="40">
        <f t="shared" si="21"/>
        <v>0</v>
      </c>
      <c r="H71" s="39">
        <f t="shared" si="22"/>
        <v>0</v>
      </c>
    </row>
    <row r="72" spans="1:8" x14ac:dyDescent="0.25">
      <c r="A72" s="22">
        <f t="shared" si="23"/>
        <v>136</v>
      </c>
      <c r="B72" s="27">
        <f t="shared" si="16"/>
        <v>0</v>
      </c>
      <c r="C72" s="26">
        <f t="shared" si="17"/>
        <v>0</v>
      </c>
      <c r="D72" s="26">
        <f t="shared" si="18"/>
        <v>36</v>
      </c>
      <c r="E72" s="26">
        <f t="shared" si="19"/>
        <v>-336</v>
      </c>
      <c r="F72" s="40">
        <f t="shared" si="20"/>
        <v>300</v>
      </c>
      <c r="G72" s="40">
        <f t="shared" si="21"/>
        <v>0</v>
      </c>
      <c r="H72" s="39">
        <f t="shared" si="22"/>
        <v>0</v>
      </c>
    </row>
    <row r="73" spans="1:8" x14ac:dyDescent="0.25">
      <c r="A73" s="22">
        <f t="shared" si="23"/>
        <v>138</v>
      </c>
      <c r="B73" s="27">
        <f t="shared" si="16"/>
        <v>0</v>
      </c>
      <c r="C73" s="26">
        <f t="shared" si="17"/>
        <v>0</v>
      </c>
      <c r="D73" s="26">
        <f t="shared" si="18"/>
        <v>38</v>
      </c>
      <c r="E73" s="26">
        <f t="shared" si="19"/>
        <v>-378</v>
      </c>
      <c r="F73" s="40">
        <f t="shared" si="20"/>
        <v>340</v>
      </c>
      <c r="G73" s="40">
        <f t="shared" si="21"/>
        <v>0</v>
      </c>
      <c r="H73" s="39">
        <f t="shared" si="22"/>
        <v>0</v>
      </c>
    </row>
    <row r="74" spans="1:8" x14ac:dyDescent="0.25">
      <c r="A74" s="22">
        <f t="shared" si="23"/>
        <v>140</v>
      </c>
      <c r="B74" s="27">
        <f t="shared" si="16"/>
        <v>0</v>
      </c>
      <c r="C74" s="26">
        <f t="shared" si="17"/>
        <v>0</v>
      </c>
      <c r="D74" s="26">
        <f t="shared" si="18"/>
        <v>40</v>
      </c>
      <c r="E74" s="26">
        <f t="shared" si="19"/>
        <v>-420</v>
      </c>
      <c r="F74" s="40">
        <f t="shared" si="20"/>
        <v>380</v>
      </c>
      <c r="G74" s="40">
        <f t="shared" si="21"/>
        <v>0</v>
      </c>
      <c r="H74" s="39">
        <f t="shared" si="22"/>
        <v>0</v>
      </c>
    </row>
    <row r="75" spans="1:8" x14ac:dyDescent="0.25">
      <c r="A75" s="22">
        <f t="shared" si="23"/>
        <v>142</v>
      </c>
      <c r="B75" s="27">
        <f t="shared" si="16"/>
        <v>0</v>
      </c>
      <c r="C75" s="26">
        <f t="shared" si="17"/>
        <v>0</v>
      </c>
      <c r="D75" s="26">
        <f t="shared" si="18"/>
        <v>42</v>
      </c>
      <c r="E75" s="26">
        <f t="shared" si="19"/>
        <v>-462</v>
      </c>
      <c r="F75" s="40">
        <f t="shared" si="20"/>
        <v>420</v>
      </c>
      <c r="G75" s="40">
        <f t="shared" si="21"/>
        <v>0</v>
      </c>
      <c r="H75" s="39">
        <f t="shared" si="22"/>
        <v>0</v>
      </c>
    </row>
    <row r="76" spans="1:8" x14ac:dyDescent="0.25">
      <c r="A76" s="22">
        <f t="shared" si="23"/>
        <v>144</v>
      </c>
      <c r="B76" s="27">
        <f t="shared" si="16"/>
        <v>0</v>
      </c>
      <c r="C76" s="26">
        <f t="shared" si="17"/>
        <v>0</v>
      </c>
      <c r="D76" s="26">
        <f t="shared" si="18"/>
        <v>44</v>
      </c>
      <c r="E76" s="26">
        <f t="shared" si="19"/>
        <v>-504</v>
      </c>
      <c r="F76" s="40">
        <f t="shared" si="20"/>
        <v>460</v>
      </c>
      <c r="G76" s="40">
        <f t="shared" si="21"/>
        <v>0</v>
      </c>
      <c r="H76" s="39">
        <f t="shared" si="22"/>
        <v>0</v>
      </c>
    </row>
    <row r="77" spans="1:8" x14ac:dyDescent="0.25">
      <c r="A77" s="22">
        <f t="shared" si="23"/>
        <v>146</v>
      </c>
      <c r="B77" s="27">
        <f t="shared" si="16"/>
        <v>0</v>
      </c>
      <c r="C77" s="26">
        <f t="shared" si="17"/>
        <v>0</v>
      </c>
      <c r="D77" s="26">
        <f t="shared" si="18"/>
        <v>46</v>
      </c>
      <c r="E77" s="26">
        <f t="shared" si="19"/>
        <v>-546</v>
      </c>
      <c r="F77" s="40">
        <f t="shared" si="20"/>
        <v>500</v>
      </c>
      <c r="G77" s="40">
        <f t="shared" si="21"/>
        <v>0</v>
      </c>
      <c r="H77" s="39">
        <f t="shared" si="22"/>
        <v>0</v>
      </c>
    </row>
    <row r="78" spans="1:8" x14ac:dyDescent="0.25">
      <c r="A78" s="22">
        <f t="shared" si="23"/>
        <v>148</v>
      </c>
      <c r="B78" s="27">
        <f t="shared" si="16"/>
        <v>0</v>
      </c>
      <c r="C78" s="26">
        <f t="shared" si="17"/>
        <v>0</v>
      </c>
      <c r="D78" s="26">
        <f t="shared" si="18"/>
        <v>48</v>
      </c>
      <c r="E78" s="26">
        <f t="shared" si="19"/>
        <v>-588</v>
      </c>
      <c r="F78" s="40">
        <f t="shared" si="20"/>
        <v>540</v>
      </c>
      <c r="G78" s="40">
        <f t="shared" si="21"/>
        <v>0</v>
      </c>
      <c r="H78" s="39">
        <f t="shared" si="22"/>
        <v>0</v>
      </c>
    </row>
    <row r="79" spans="1:8" x14ac:dyDescent="0.25">
      <c r="A79" s="22">
        <f t="shared" si="23"/>
        <v>150</v>
      </c>
      <c r="B79" s="27">
        <f t="shared" si="16"/>
        <v>0</v>
      </c>
      <c r="C79" s="26">
        <f t="shared" si="17"/>
        <v>0</v>
      </c>
      <c r="D79" s="26">
        <f t="shared" si="18"/>
        <v>50</v>
      </c>
      <c r="E79" s="26">
        <f t="shared" si="19"/>
        <v>-630</v>
      </c>
      <c r="F79" s="40">
        <f t="shared" si="20"/>
        <v>580</v>
      </c>
      <c r="G79" s="40">
        <f t="shared" si="21"/>
        <v>0</v>
      </c>
      <c r="H79" s="39">
        <f t="shared" si="22"/>
        <v>0</v>
      </c>
    </row>
    <row r="80" spans="1:8" x14ac:dyDescent="0.25">
      <c r="A80" s="22">
        <f t="shared" si="23"/>
        <v>152</v>
      </c>
      <c r="B80" s="27">
        <f t="shared" si="16"/>
        <v>0</v>
      </c>
      <c r="C80" s="26">
        <f t="shared" si="17"/>
        <v>0</v>
      </c>
      <c r="D80" s="26">
        <f t="shared" si="18"/>
        <v>52</v>
      </c>
      <c r="E80" s="26">
        <f t="shared" si="19"/>
        <v>-672</v>
      </c>
      <c r="F80" s="40">
        <f t="shared" si="20"/>
        <v>620</v>
      </c>
      <c r="G80" s="40">
        <f t="shared" si="21"/>
        <v>0</v>
      </c>
      <c r="H80" s="39">
        <f t="shared" si="22"/>
        <v>0</v>
      </c>
    </row>
    <row r="81" spans="1:8" x14ac:dyDescent="0.25">
      <c r="A81" s="22">
        <f t="shared" si="23"/>
        <v>154</v>
      </c>
      <c r="B81" s="27">
        <f t="shared" si="16"/>
        <v>0</v>
      </c>
      <c r="C81" s="26">
        <f t="shared" si="17"/>
        <v>0</v>
      </c>
      <c r="D81" s="26">
        <f t="shared" si="18"/>
        <v>54</v>
      </c>
      <c r="E81" s="26">
        <f t="shared" si="19"/>
        <v>-714</v>
      </c>
      <c r="F81" s="40">
        <f t="shared" si="20"/>
        <v>660</v>
      </c>
      <c r="G81" s="40">
        <f t="shared" si="21"/>
        <v>0</v>
      </c>
      <c r="H81" s="39">
        <f t="shared" si="22"/>
        <v>0</v>
      </c>
    </row>
    <row r="82" spans="1:8" x14ac:dyDescent="0.25">
      <c r="A82" s="22">
        <f t="shared" si="23"/>
        <v>156</v>
      </c>
      <c r="B82" s="27">
        <f t="shared" si="16"/>
        <v>0</v>
      </c>
      <c r="C82" s="26">
        <f t="shared" si="17"/>
        <v>0</v>
      </c>
      <c r="D82" s="26">
        <f t="shared" si="18"/>
        <v>56</v>
      </c>
      <c r="E82" s="26">
        <f t="shared" si="19"/>
        <v>-756</v>
      </c>
      <c r="F82" s="40">
        <f t="shared" si="20"/>
        <v>700</v>
      </c>
      <c r="G82" s="40">
        <f t="shared" si="21"/>
        <v>0</v>
      </c>
      <c r="H82" s="39">
        <f t="shared" si="22"/>
        <v>0</v>
      </c>
    </row>
    <row r="83" spans="1:8" x14ac:dyDescent="0.25">
      <c r="A83" s="22">
        <f t="shared" si="23"/>
        <v>158</v>
      </c>
      <c r="B83" s="27">
        <f t="shared" si="16"/>
        <v>0</v>
      </c>
      <c r="C83" s="26">
        <f t="shared" si="17"/>
        <v>0</v>
      </c>
      <c r="D83" s="26">
        <f t="shared" si="18"/>
        <v>58</v>
      </c>
      <c r="E83" s="26">
        <f t="shared" si="19"/>
        <v>-798</v>
      </c>
      <c r="F83" s="40">
        <f t="shared" si="20"/>
        <v>740</v>
      </c>
      <c r="G83" s="40">
        <f t="shared" si="21"/>
        <v>0</v>
      </c>
      <c r="H83" s="39">
        <f t="shared" si="22"/>
        <v>0</v>
      </c>
    </row>
    <row r="84" spans="1:8" x14ac:dyDescent="0.25">
      <c r="A84" s="22">
        <f t="shared" si="23"/>
        <v>160</v>
      </c>
      <c r="B84" s="27">
        <f t="shared" si="16"/>
        <v>0</v>
      </c>
      <c r="C84" s="26">
        <f t="shared" si="17"/>
        <v>0</v>
      </c>
      <c r="D84" s="26">
        <f t="shared" si="18"/>
        <v>60</v>
      </c>
      <c r="E84" s="26">
        <f t="shared" si="19"/>
        <v>-840</v>
      </c>
      <c r="F84" s="40">
        <f t="shared" si="20"/>
        <v>780</v>
      </c>
      <c r="G84" s="40">
        <f t="shared" si="21"/>
        <v>0</v>
      </c>
      <c r="H84" s="39">
        <f t="shared" si="22"/>
        <v>0</v>
      </c>
    </row>
    <row r="85" spans="1:8" x14ac:dyDescent="0.25">
      <c r="A85" s="22">
        <f t="shared" si="23"/>
        <v>162</v>
      </c>
      <c r="B85" s="27">
        <f t="shared" si="16"/>
        <v>0</v>
      </c>
      <c r="C85" s="26">
        <f t="shared" si="17"/>
        <v>0</v>
      </c>
      <c r="D85" s="26">
        <f t="shared" si="18"/>
        <v>62</v>
      </c>
      <c r="E85" s="26">
        <f t="shared" si="19"/>
        <v>-882</v>
      </c>
      <c r="F85" s="40">
        <f t="shared" si="20"/>
        <v>820</v>
      </c>
      <c r="G85" s="40">
        <f t="shared" si="21"/>
        <v>0</v>
      </c>
      <c r="H85" s="39">
        <f t="shared" si="22"/>
        <v>0</v>
      </c>
    </row>
    <row r="86" spans="1:8" x14ac:dyDescent="0.25">
      <c r="A86" s="22">
        <f t="shared" si="23"/>
        <v>164</v>
      </c>
      <c r="B86" s="27">
        <f t="shared" si="16"/>
        <v>0</v>
      </c>
      <c r="C86" s="26">
        <f t="shared" si="17"/>
        <v>0</v>
      </c>
      <c r="D86" s="26">
        <f t="shared" si="18"/>
        <v>64</v>
      </c>
      <c r="E86" s="26">
        <f t="shared" si="19"/>
        <v>-924</v>
      </c>
      <c r="F86" s="40">
        <f t="shared" si="20"/>
        <v>860</v>
      </c>
      <c r="G86" s="40">
        <f t="shared" si="21"/>
        <v>0</v>
      </c>
      <c r="H86" s="39">
        <f t="shared" si="22"/>
        <v>0</v>
      </c>
    </row>
    <row r="87" spans="1:8" x14ac:dyDescent="0.25">
      <c r="A87" s="22">
        <f t="shared" si="23"/>
        <v>166</v>
      </c>
      <c r="B87" s="27">
        <f t="shared" si="16"/>
        <v>0</v>
      </c>
      <c r="C87" s="26">
        <f t="shared" si="17"/>
        <v>0</v>
      </c>
      <c r="D87" s="26">
        <f t="shared" si="18"/>
        <v>66</v>
      </c>
      <c r="E87" s="26">
        <f t="shared" si="19"/>
        <v>-966</v>
      </c>
      <c r="F87" s="40">
        <f t="shared" si="20"/>
        <v>900</v>
      </c>
      <c r="G87" s="40">
        <f t="shared" si="21"/>
        <v>0</v>
      </c>
      <c r="H87" s="39">
        <f t="shared" si="22"/>
        <v>0</v>
      </c>
    </row>
    <row r="88" spans="1:8" x14ac:dyDescent="0.25">
      <c r="A88" s="22">
        <f t="shared" si="23"/>
        <v>168</v>
      </c>
      <c r="B88" s="27">
        <f t="shared" si="16"/>
        <v>0</v>
      </c>
      <c r="C88" s="26">
        <f t="shared" si="17"/>
        <v>0</v>
      </c>
      <c r="D88" s="26">
        <f t="shared" si="18"/>
        <v>68</v>
      </c>
      <c r="E88" s="26">
        <f t="shared" si="19"/>
        <v>-1008</v>
      </c>
      <c r="F88" s="40">
        <f t="shared" si="20"/>
        <v>940</v>
      </c>
      <c r="G88" s="40">
        <f t="shared" si="21"/>
        <v>0</v>
      </c>
      <c r="H88" s="39">
        <f t="shared" si="22"/>
        <v>0</v>
      </c>
    </row>
    <row r="89" spans="1:8" x14ac:dyDescent="0.25">
      <c r="A89" s="22">
        <f t="shared" si="23"/>
        <v>170</v>
      </c>
      <c r="B89" s="27">
        <f t="shared" si="16"/>
        <v>0</v>
      </c>
      <c r="C89" s="26">
        <f t="shared" si="17"/>
        <v>0</v>
      </c>
      <c r="D89" s="26">
        <f t="shared" si="18"/>
        <v>70</v>
      </c>
      <c r="E89" s="26">
        <f t="shared" si="19"/>
        <v>-1050</v>
      </c>
      <c r="F89" s="40">
        <f t="shared" si="20"/>
        <v>980</v>
      </c>
      <c r="G89" s="40">
        <f t="shared" si="21"/>
        <v>0</v>
      </c>
      <c r="H89" s="39">
        <f t="shared" si="22"/>
        <v>0</v>
      </c>
    </row>
    <row r="90" spans="1:8" x14ac:dyDescent="0.25">
      <c r="A90" s="22">
        <f t="shared" si="23"/>
        <v>172</v>
      </c>
      <c r="B90" s="27">
        <f t="shared" si="16"/>
        <v>0</v>
      </c>
      <c r="C90" s="26">
        <f t="shared" si="17"/>
        <v>0</v>
      </c>
      <c r="D90" s="26">
        <f t="shared" si="18"/>
        <v>72</v>
      </c>
      <c r="E90" s="26">
        <f t="shared" si="19"/>
        <v>-1092</v>
      </c>
      <c r="F90" s="40">
        <f t="shared" si="20"/>
        <v>1020</v>
      </c>
      <c r="G90" s="40">
        <f t="shared" si="21"/>
        <v>0</v>
      </c>
      <c r="H90" s="39">
        <f t="shared" si="22"/>
        <v>0</v>
      </c>
    </row>
    <row r="91" spans="1:8" x14ac:dyDescent="0.25">
      <c r="A91" s="22">
        <f t="shared" si="23"/>
        <v>174</v>
      </c>
      <c r="B91" s="27">
        <f t="shared" si="16"/>
        <v>0</v>
      </c>
      <c r="C91" s="26">
        <f t="shared" si="17"/>
        <v>0</v>
      </c>
      <c r="D91" s="26">
        <f t="shared" si="18"/>
        <v>74</v>
      </c>
      <c r="E91" s="26">
        <f t="shared" si="19"/>
        <v>-1134</v>
      </c>
      <c r="F91" s="40">
        <f t="shared" si="20"/>
        <v>1060</v>
      </c>
      <c r="G91" s="40">
        <f t="shared" si="21"/>
        <v>0</v>
      </c>
      <c r="H91" s="39">
        <f t="shared" si="22"/>
        <v>0</v>
      </c>
    </row>
    <row r="92" spans="1:8" x14ac:dyDescent="0.25">
      <c r="A92" s="22">
        <f t="shared" si="23"/>
        <v>176</v>
      </c>
      <c r="B92" s="27">
        <f t="shared" si="16"/>
        <v>0</v>
      </c>
      <c r="C92" s="26">
        <f t="shared" si="17"/>
        <v>0</v>
      </c>
      <c r="D92" s="26">
        <f t="shared" si="18"/>
        <v>76</v>
      </c>
      <c r="E92" s="26">
        <f t="shared" si="19"/>
        <v>-1176</v>
      </c>
      <c r="F92" s="40">
        <f t="shared" si="20"/>
        <v>1100</v>
      </c>
      <c r="G92" s="40">
        <f t="shared" si="21"/>
        <v>0</v>
      </c>
      <c r="H92" s="39">
        <f t="shared" si="22"/>
        <v>0</v>
      </c>
    </row>
    <row r="93" spans="1:8" x14ac:dyDescent="0.25">
      <c r="A93" s="22">
        <f t="shared" si="23"/>
        <v>178</v>
      </c>
      <c r="B93" s="27">
        <f t="shared" si="16"/>
        <v>0</v>
      </c>
      <c r="C93" s="26">
        <f t="shared" si="17"/>
        <v>0</v>
      </c>
      <c r="D93" s="26">
        <f t="shared" si="18"/>
        <v>78</v>
      </c>
      <c r="E93" s="26">
        <f t="shared" si="19"/>
        <v>-1218</v>
      </c>
      <c r="F93" s="40">
        <f t="shared" si="20"/>
        <v>1140</v>
      </c>
      <c r="G93" s="40">
        <f t="shared" si="21"/>
        <v>0</v>
      </c>
      <c r="H93" s="39">
        <f t="shared" si="22"/>
        <v>0</v>
      </c>
    </row>
    <row r="94" spans="1:8" x14ac:dyDescent="0.25">
      <c r="A94" s="22">
        <f t="shared" si="23"/>
        <v>180</v>
      </c>
      <c r="B94" s="27">
        <f t="shared" si="16"/>
        <v>0</v>
      </c>
      <c r="C94" s="26">
        <f t="shared" si="17"/>
        <v>0</v>
      </c>
      <c r="D94" s="26">
        <f t="shared" si="18"/>
        <v>80</v>
      </c>
      <c r="E94" s="26">
        <f t="shared" si="19"/>
        <v>-1260</v>
      </c>
      <c r="F94" s="40">
        <f t="shared" si="20"/>
        <v>1180</v>
      </c>
      <c r="G94" s="40">
        <f t="shared" si="21"/>
        <v>0</v>
      </c>
      <c r="H94" s="39">
        <f t="shared" si="22"/>
        <v>0</v>
      </c>
    </row>
    <row r="95" spans="1:8" x14ac:dyDescent="0.25">
      <c r="A95" s="22">
        <f t="shared" si="23"/>
        <v>182</v>
      </c>
      <c r="B95" s="27">
        <f t="shared" si="16"/>
        <v>0</v>
      </c>
      <c r="C95" s="26">
        <f t="shared" si="17"/>
        <v>0</v>
      </c>
      <c r="D95" s="26">
        <f t="shared" si="18"/>
        <v>82</v>
      </c>
      <c r="E95" s="26">
        <f t="shared" si="19"/>
        <v>-1302</v>
      </c>
      <c r="F95" s="40">
        <f t="shared" si="20"/>
        <v>1220</v>
      </c>
      <c r="G95" s="40">
        <f t="shared" si="21"/>
        <v>0</v>
      </c>
      <c r="H95" s="39">
        <f t="shared" si="22"/>
        <v>0</v>
      </c>
    </row>
    <row r="96" spans="1:8" x14ac:dyDescent="0.25">
      <c r="A96" s="22">
        <f t="shared" si="23"/>
        <v>184</v>
      </c>
      <c r="B96" s="27">
        <f t="shared" si="16"/>
        <v>0</v>
      </c>
      <c r="C96" s="26">
        <f t="shared" si="17"/>
        <v>0</v>
      </c>
      <c r="D96" s="26">
        <f t="shared" si="18"/>
        <v>84</v>
      </c>
      <c r="E96" s="26">
        <f t="shared" si="19"/>
        <v>-1344</v>
      </c>
      <c r="F96" s="40">
        <f t="shared" si="20"/>
        <v>1260</v>
      </c>
      <c r="G96" s="40">
        <f t="shared" si="21"/>
        <v>0</v>
      </c>
      <c r="H96" s="39">
        <f t="shared" si="22"/>
        <v>0</v>
      </c>
    </row>
    <row r="97" spans="1:8" x14ac:dyDescent="0.25">
      <c r="A97" s="22">
        <f t="shared" si="23"/>
        <v>186</v>
      </c>
      <c r="B97" s="27">
        <f t="shared" si="16"/>
        <v>0</v>
      </c>
      <c r="C97" s="26">
        <f t="shared" si="17"/>
        <v>0</v>
      </c>
      <c r="D97" s="26">
        <f t="shared" si="18"/>
        <v>86</v>
      </c>
      <c r="E97" s="26">
        <f t="shared" si="19"/>
        <v>-1386</v>
      </c>
      <c r="F97" s="40">
        <f t="shared" si="20"/>
        <v>1300</v>
      </c>
      <c r="G97" s="40">
        <f t="shared" si="21"/>
        <v>0</v>
      </c>
      <c r="H97" s="39">
        <f t="shared" si="22"/>
        <v>0</v>
      </c>
    </row>
    <row r="98" spans="1:8" x14ac:dyDescent="0.25">
      <c r="A98" s="22">
        <f t="shared" si="23"/>
        <v>188</v>
      </c>
      <c r="B98" s="27">
        <f t="shared" si="16"/>
        <v>0</v>
      </c>
      <c r="C98" s="26">
        <f t="shared" si="17"/>
        <v>0</v>
      </c>
      <c r="D98" s="26">
        <f t="shared" si="18"/>
        <v>88</v>
      </c>
      <c r="E98" s="26">
        <f t="shared" si="19"/>
        <v>-1428</v>
      </c>
      <c r="F98" s="40">
        <f t="shared" si="20"/>
        <v>1340</v>
      </c>
      <c r="G98" s="40">
        <f t="shared" si="21"/>
        <v>0</v>
      </c>
      <c r="H98" s="39">
        <f t="shared" si="22"/>
        <v>0</v>
      </c>
    </row>
    <row r="99" spans="1:8" x14ac:dyDescent="0.25">
      <c r="A99" s="22">
        <f t="shared" si="23"/>
        <v>190</v>
      </c>
      <c r="B99" s="27">
        <f t="shared" si="16"/>
        <v>0</v>
      </c>
      <c r="C99" s="26">
        <f t="shared" si="17"/>
        <v>0</v>
      </c>
      <c r="D99" s="26">
        <f t="shared" si="18"/>
        <v>90</v>
      </c>
      <c r="E99" s="26">
        <f t="shared" si="19"/>
        <v>-1470</v>
      </c>
      <c r="F99" s="40">
        <f t="shared" si="20"/>
        <v>1380</v>
      </c>
      <c r="G99" s="40">
        <f t="shared" si="21"/>
        <v>0</v>
      </c>
      <c r="H99" s="39">
        <f t="shared" si="22"/>
        <v>0</v>
      </c>
    </row>
    <row r="100" spans="1:8" x14ac:dyDescent="0.25">
      <c r="A100" s="22">
        <f t="shared" si="23"/>
        <v>192</v>
      </c>
      <c r="B100" s="27">
        <f t="shared" ref="B100:B104" si="24">(MAX(IF($B$1="C",1,-1)*(A100-$M$5),0)-IF($M$10="Y",$M$13*EXP($M$6*$M$9),0))*$M$4</f>
        <v>0</v>
      </c>
      <c r="C100" s="26">
        <f t="shared" si="17"/>
        <v>0</v>
      </c>
      <c r="D100" s="26">
        <f t="shared" si="18"/>
        <v>92</v>
      </c>
      <c r="E100" s="26">
        <f t="shared" si="19"/>
        <v>-1512</v>
      </c>
      <c r="F100" s="40">
        <f t="shared" si="20"/>
        <v>1420</v>
      </c>
      <c r="G100" s="40">
        <f t="shared" si="21"/>
        <v>0</v>
      </c>
      <c r="H100" s="39">
        <f t="shared" si="22"/>
        <v>0</v>
      </c>
    </row>
    <row r="101" spans="1:8" x14ac:dyDescent="0.25">
      <c r="A101" s="22">
        <f t="shared" si="23"/>
        <v>194</v>
      </c>
      <c r="B101" s="27">
        <f t="shared" si="24"/>
        <v>0</v>
      </c>
      <c r="C101" s="26">
        <f t="shared" si="17"/>
        <v>0</v>
      </c>
      <c r="D101" s="26">
        <f t="shared" si="18"/>
        <v>94</v>
      </c>
      <c r="E101" s="26">
        <f t="shared" si="19"/>
        <v>-1554</v>
      </c>
      <c r="F101" s="40">
        <f t="shared" si="20"/>
        <v>1460</v>
      </c>
      <c r="G101" s="40">
        <f t="shared" si="21"/>
        <v>0</v>
      </c>
      <c r="H101" s="39">
        <f t="shared" si="22"/>
        <v>0</v>
      </c>
    </row>
    <row r="102" spans="1:8" x14ac:dyDescent="0.25">
      <c r="A102" s="22">
        <f t="shared" si="23"/>
        <v>196</v>
      </c>
      <c r="B102" s="27">
        <f t="shared" si="24"/>
        <v>0</v>
      </c>
      <c r="C102" s="26">
        <f t="shared" si="17"/>
        <v>0</v>
      </c>
      <c r="D102" s="26">
        <f t="shared" si="18"/>
        <v>96</v>
      </c>
      <c r="E102" s="26">
        <f t="shared" si="19"/>
        <v>-1596</v>
      </c>
      <c r="F102" s="40">
        <f t="shared" si="20"/>
        <v>1500</v>
      </c>
      <c r="G102" s="40">
        <f t="shared" si="21"/>
        <v>0</v>
      </c>
      <c r="H102" s="39">
        <f t="shared" si="22"/>
        <v>0</v>
      </c>
    </row>
    <row r="103" spans="1:8" x14ac:dyDescent="0.25">
      <c r="A103" s="22">
        <f t="shared" si="23"/>
        <v>198</v>
      </c>
      <c r="B103" s="27">
        <f t="shared" si="24"/>
        <v>0</v>
      </c>
      <c r="C103" s="26">
        <f t="shared" si="17"/>
        <v>0</v>
      </c>
      <c r="D103" s="26">
        <f t="shared" si="18"/>
        <v>98</v>
      </c>
      <c r="E103" s="26">
        <f t="shared" si="19"/>
        <v>-1638</v>
      </c>
      <c r="F103" s="40">
        <f t="shared" si="20"/>
        <v>1540</v>
      </c>
      <c r="G103" s="40">
        <f t="shared" si="21"/>
        <v>0</v>
      </c>
      <c r="H103" s="39">
        <f t="shared" si="22"/>
        <v>0</v>
      </c>
    </row>
    <row r="104" spans="1:8" x14ac:dyDescent="0.25">
      <c r="A104" s="25">
        <f t="shared" si="23"/>
        <v>200</v>
      </c>
      <c r="B104" s="24">
        <f t="shared" si="24"/>
        <v>0</v>
      </c>
      <c r="C104" s="23">
        <f t="shared" si="17"/>
        <v>0</v>
      </c>
      <c r="D104" s="23">
        <f t="shared" si="18"/>
        <v>100</v>
      </c>
      <c r="E104" s="23">
        <f t="shared" si="19"/>
        <v>-1680</v>
      </c>
      <c r="F104" s="40">
        <f t="shared" si="20"/>
        <v>1580</v>
      </c>
      <c r="G104" s="40">
        <f t="shared" si="21"/>
        <v>0</v>
      </c>
      <c r="H104" s="39">
        <f t="shared" si="22"/>
        <v>0</v>
      </c>
    </row>
    <row r="105" spans="1:8" x14ac:dyDescent="0.25">
      <c r="A105" s="22"/>
    </row>
    <row r="106" spans="1:8" x14ac:dyDescent="0.25">
      <c r="A106" s="22"/>
    </row>
    <row r="107" spans="1:8" x14ac:dyDescent="0.25">
      <c r="A107" s="22"/>
    </row>
    <row r="108" spans="1:8" x14ac:dyDescent="0.25">
      <c r="A108" s="22"/>
    </row>
    <row r="109" spans="1:8" x14ac:dyDescent="0.25">
      <c r="A109" s="22"/>
    </row>
    <row r="110" spans="1:8" x14ac:dyDescent="0.25">
      <c r="A110" s="22"/>
    </row>
    <row r="111" spans="1:8" x14ac:dyDescent="0.25">
      <c r="A111" s="22"/>
    </row>
    <row r="112" spans="1:8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</sheetData>
  <mergeCells count="16">
    <mergeCell ref="K2:K10"/>
    <mergeCell ref="M2:P2"/>
    <mergeCell ref="B3:E3"/>
    <mergeCell ref="M6:P6"/>
    <mergeCell ref="M7:P7"/>
    <mergeCell ref="M8:P8"/>
    <mergeCell ref="M9:P9"/>
    <mergeCell ref="M10:P10"/>
    <mergeCell ref="F1:F2"/>
    <mergeCell ref="G1:G2"/>
    <mergeCell ref="H1:H3"/>
    <mergeCell ref="A1:A2"/>
    <mergeCell ref="B1:B2"/>
    <mergeCell ref="C1:C2"/>
    <mergeCell ref="D1:D2"/>
    <mergeCell ref="E1:E2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03A-326F-449A-B499-9CA4EE7D31EC}">
  <dimension ref="B1:AJ140"/>
  <sheetViews>
    <sheetView topLeftCell="A76" zoomScale="60" zoomScaleNormal="60" workbookViewId="0">
      <selection activeCell="AI81" sqref="AI81"/>
    </sheetView>
  </sheetViews>
  <sheetFormatPr baseColWidth="10" defaultColWidth="8.77734375" defaultRowHeight="13.2" x14ac:dyDescent="0.25"/>
  <cols>
    <col min="1" max="1" width="8.77734375" style="21"/>
    <col min="2" max="2" width="13.109375" style="21" bestFit="1" customWidth="1"/>
    <col min="3" max="6" width="8.77734375" style="21"/>
    <col min="7" max="7" width="12.21875" style="21" bestFit="1" customWidth="1"/>
    <col min="8" max="9" width="8.77734375" style="21"/>
    <col min="10" max="10" width="15.109375" style="21" bestFit="1" customWidth="1"/>
    <col min="11" max="12" width="8.77734375" style="21"/>
    <col min="13" max="13" width="15.109375" style="21" bestFit="1" customWidth="1"/>
    <col min="14" max="16384" width="8.77734375" style="21"/>
  </cols>
  <sheetData>
    <row r="1" spans="2:8" x14ac:dyDescent="0.25">
      <c r="B1" s="42" t="s">
        <v>0</v>
      </c>
      <c r="C1" s="42">
        <v>110</v>
      </c>
      <c r="G1" s="42" t="s">
        <v>28</v>
      </c>
      <c r="H1" s="37">
        <f>IF(C8="C",1,-1)</f>
        <v>1</v>
      </c>
    </row>
    <row r="2" spans="2:8" x14ac:dyDescent="0.25">
      <c r="B2" s="42" t="s">
        <v>43</v>
      </c>
      <c r="C2" s="42">
        <v>80</v>
      </c>
      <c r="D2" s="42">
        <v>100</v>
      </c>
      <c r="E2" s="42">
        <v>120</v>
      </c>
      <c r="G2" s="42" t="s">
        <v>44</v>
      </c>
      <c r="H2" s="37">
        <f>IF(C9="A",1,0)</f>
        <v>0</v>
      </c>
    </row>
    <row r="3" spans="2:8" x14ac:dyDescent="0.25">
      <c r="B3" s="42" t="s">
        <v>45</v>
      </c>
      <c r="C3" s="46">
        <v>0.04</v>
      </c>
      <c r="G3" s="37" t="s">
        <v>46</v>
      </c>
      <c r="H3" s="37">
        <f>C6/C7</f>
        <v>3.3333333333333333E-2</v>
      </c>
    </row>
    <row r="4" spans="2:8" x14ac:dyDescent="0.25">
      <c r="B4" s="42" t="s">
        <v>47</v>
      </c>
      <c r="C4" s="46">
        <v>0.01</v>
      </c>
      <c r="G4" s="37" t="s">
        <v>48</v>
      </c>
      <c r="H4" s="37">
        <f>EXP(C5*SQRT(H3))</f>
        <v>1.0563000210241065</v>
      </c>
    </row>
    <row r="5" spans="2:8" x14ac:dyDescent="0.25">
      <c r="B5" s="42" t="s">
        <v>49</v>
      </c>
      <c r="C5" s="46">
        <v>0.3</v>
      </c>
      <c r="G5" s="37" t="s">
        <v>50</v>
      </c>
      <c r="H5" s="37">
        <f>1/H4</f>
        <v>0.94670072905089753</v>
      </c>
    </row>
    <row r="6" spans="2:8" x14ac:dyDescent="0.25">
      <c r="B6" s="42" t="s">
        <v>51</v>
      </c>
      <c r="C6" s="42">
        <v>1</v>
      </c>
      <c r="G6" s="37" t="s">
        <v>52</v>
      </c>
      <c r="H6" s="37">
        <f>(EXP((C3-C4)*H3)-H5)/(H4-H5)</f>
        <v>0.49543906843015184</v>
      </c>
    </row>
    <row r="7" spans="2:8" x14ac:dyDescent="0.25">
      <c r="B7" s="42" t="s">
        <v>39</v>
      </c>
      <c r="C7" s="42">
        <v>30</v>
      </c>
    </row>
    <row r="8" spans="2:8" x14ac:dyDescent="0.25">
      <c r="B8" s="42" t="s">
        <v>28</v>
      </c>
      <c r="C8" s="37" t="s">
        <v>26</v>
      </c>
    </row>
    <row r="9" spans="2:8" x14ac:dyDescent="0.25">
      <c r="B9" s="42" t="s">
        <v>53</v>
      </c>
      <c r="C9" s="37" t="s">
        <v>54</v>
      </c>
    </row>
    <row r="16" spans="2:8" x14ac:dyDescent="0.25">
      <c r="F16" s="122" t="s">
        <v>55</v>
      </c>
      <c r="G16" s="122"/>
    </row>
    <row r="17" spans="6:36" x14ac:dyDescent="0.25">
      <c r="F17" s="42">
        <v>0</v>
      </c>
      <c r="G17" s="42">
        <f>F17+$H$3</f>
        <v>3.3333333333333333E-2</v>
      </c>
      <c r="H17" s="42">
        <f>G17+$H$3</f>
        <v>6.6666666666666666E-2</v>
      </c>
      <c r="I17" s="42">
        <f t="shared" ref="I17:AJ17" si="0">H17+$H$3</f>
        <v>0.1</v>
      </c>
      <c r="J17" s="42">
        <f t="shared" si="0"/>
        <v>0.13333333333333333</v>
      </c>
      <c r="K17" s="42">
        <f t="shared" si="0"/>
        <v>0.16666666666666666</v>
      </c>
      <c r="L17" s="42">
        <f t="shared" si="0"/>
        <v>0.19999999999999998</v>
      </c>
      <c r="M17" s="42">
        <f t="shared" si="0"/>
        <v>0.23333333333333331</v>
      </c>
      <c r="N17" s="42">
        <f t="shared" si="0"/>
        <v>0.26666666666666666</v>
      </c>
      <c r="O17" s="42">
        <f t="shared" si="0"/>
        <v>0.3</v>
      </c>
      <c r="P17" s="42">
        <f t="shared" si="0"/>
        <v>0.33333333333333331</v>
      </c>
      <c r="Q17" s="42">
        <f t="shared" si="0"/>
        <v>0.36666666666666664</v>
      </c>
      <c r="R17" s="42">
        <f t="shared" si="0"/>
        <v>0.39999999999999997</v>
      </c>
      <c r="S17" s="42">
        <f t="shared" si="0"/>
        <v>0.43333333333333329</v>
      </c>
      <c r="T17" s="42">
        <f t="shared" si="0"/>
        <v>0.46666666666666662</v>
      </c>
      <c r="U17" s="42">
        <f t="shared" si="0"/>
        <v>0.49999999999999994</v>
      </c>
      <c r="V17" s="42">
        <f t="shared" si="0"/>
        <v>0.53333333333333333</v>
      </c>
      <c r="W17" s="42">
        <f t="shared" si="0"/>
        <v>0.56666666666666665</v>
      </c>
      <c r="X17" s="42">
        <f t="shared" si="0"/>
        <v>0.6</v>
      </c>
      <c r="Y17" s="42">
        <f t="shared" si="0"/>
        <v>0.6333333333333333</v>
      </c>
      <c r="Z17" s="42">
        <f t="shared" si="0"/>
        <v>0.66666666666666663</v>
      </c>
      <c r="AA17" s="42">
        <f t="shared" si="0"/>
        <v>0.7</v>
      </c>
      <c r="AB17" s="42">
        <f t="shared" si="0"/>
        <v>0.73333333333333328</v>
      </c>
      <c r="AC17" s="42">
        <f t="shared" si="0"/>
        <v>0.76666666666666661</v>
      </c>
      <c r="AD17" s="42">
        <f t="shared" si="0"/>
        <v>0.79999999999999993</v>
      </c>
      <c r="AE17" s="42">
        <f t="shared" si="0"/>
        <v>0.83333333333333326</v>
      </c>
      <c r="AF17" s="42">
        <f t="shared" si="0"/>
        <v>0.86666666666666659</v>
      </c>
      <c r="AG17" s="42">
        <f t="shared" si="0"/>
        <v>0.89999999999999991</v>
      </c>
      <c r="AH17" s="42">
        <f t="shared" si="0"/>
        <v>0.93333333333333324</v>
      </c>
      <c r="AI17" s="42">
        <f t="shared" si="0"/>
        <v>0.96666666666666656</v>
      </c>
      <c r="AJ17" s="42">
        <f t="shared" si="0"/>
        <v>0.99999999999999989</v>
      </c>
    </row>
    <row r="18" spans="6:36" x14ac:dyDescent="0.25">
      <c r="F18" s="47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0">
        <f>AI19*$H$4</f>
        <v>568.86778214335436</v>
      </c>
    </row>
    <row r="19" spans="6:36" x14ac:dyDescent="0.25">
      <c r="F19" s="49"/>
      <c r="AI19" s="38">
        <f>AH20*$H$4</f>
        <v>538.54754408868075</v>
      </c>
      <c r="AJ19" s="50"/>
    </row>
    <row r="20" spans="6:36" x14ac:dyDescent="0.25">
      <c r="F20" s="49"/>
      <c r="AH20" s="38">
        <f>AG21*$H$4</f>
        <v>509.84335261732446</v>
      </c>
      <c r="AJ20" s="50">
        <f>IF(AH20&lt;&gt;0,AH20,"")</f>
        <v>509.84335261732446</v>
      </c>
    </row>
    <row r="21" spans="6:36" x14ac:dyDescent="0.25">
      <c r="F21" s="49"/>
      <c r="AG21" s="38">
        <f>AF22*$H$4</f>
        <v>482.66907362457488</v>
      </c>
      <c r="AI21" s="21">
        <f>IF(AG21&lt;&gt;0,AG21,"")</f>
        <v>482.66907362457488</v>
      </c>
      <c r="AJ21" s="50" t="str">
        <f t="shared" ref="AJ21:AJ76" si="1">IF(AH21&lt;&gt;0,AH21,"")</f>
        <v/>
      </c>
    </row>
    <row r="22" spans="6:36" x14ac:dyDescent="0.25">
      <c r="F22" s="49"/>
      <c r="AF22" s="38">
        <f>AE23*$H$4</f>
        <v>456.94316389070639</v>
      </c>
      <c r="AH22" s="21">
        <f>IF(AF22&lt;&gt;0,AF22,"")</f>
        <v>456.94316389070639</v>
      </c>
      <c r="AI22" s="21" t="str">
        <f t="shared" ref="AI22:AI75" si="2">IF(AG22&lt;&gt;0,AG22,"")</f>
        <v/>
      </c>
      <c r="AJ22" s="50">
        <f t="shared" si="1"/>
        <v>456.94316389070639</v>
      </c>
    </row>
    <row r="23" spans="6:36" x14ac:dyDescent="0.25">
      <c r="F23" s="22"/>
      <c r="G23" s="38"/>
      <c r="H23" s="38"/>
      <c r="I23" s="38"/>
      <c r="M23" s="56"/>
      <c r="AE23" s="38">
        <f>AD24*$H$4</f>
        <v>432.58842639015552</v>
      </c>
      <c r="AG23" s="21">
        <f>IF(AE23&lt;&gt;0,AE23,"")</f>
        <v>432.58842639015552</v>
      </c>
      <c r="AH23" s="21" t="str">
        <f t="shared" ref="AH23:AH74" si="3">IF(AF23&lt;&gt;0,AF23,"")</f>
        <v/>
      </c>
      <c r="AI23" s="21">
        <f t="shared" si="2"/>
        <v>432.58842639015552</v>
      </c>
      <c r="AJ23" s="50" t="str">
        <f t="shared" si="1"/>
        <v/>
      </c>
    </row>
    <row r="24" spans="6:36" x14ac:dyDescent="0.25">
      <c r="F24" s="49"/>
      <c r="AD24" s="38">
        <f>AC25*$H$4</f>
        <v>409.53177864254076</v>
      </c>
      <c r="AF24" s="21">
        <f>IF(AD24&lt;&gt;0,AD24,"")</f>
        <v>409.53177864254076</v>
      </c>
      <c r="AG24" s="21" t="str">
        <f t="shared" ref="AG24:AG73" si="4">IF(AE24&lt;&gt;0,AE24,"")</f>
        <v/>
      </c>
      <c r="AH24" s="21">
        <f t="shared" si="3"/>
        <v>409.53177864254076</v>
      </c>
      <c r="AI24" s="21" t="str">
        <f t="shared" si="2"/>
        <v/>
      </c>
      <c r="AJ24" s="50">
        <f t="shared" si="1"/>
        <v>409.53177864254076</v>
      </c>
    </row>
    <row r="25" spans="6:36" x14ac:dyDescent="0.25">
      <c r="F25" s="49"/>
      <c r="AC25" s="38">
        <f>AB26*$H$4</f>
        <v>387.70403341040412</v>
      </c>
      <c r="AE25" s="21">
        <f>IF(AC25&lt;&gt;0,AC25,"")</f>
        <v>387.70403341040412</v>
      </c>
      <c r="AF25" s="21" t="str">
        <f t="shared" ref="AF25:AF72" si="5">IF(AD25&lt;&gt;0,AD25,"")</f>
        <v/>
      </c>
      <c r="AG25" s="21">
        <f t="shared" si="4"/>
        <v>387.70403341040412</v>
      </c>
      <c r="AH25" s="21" t="str">
        <f t="shared" si="3"/>
        <v/>
      </c>
      <c r="AI25" s="21">
        <f t="shared" si="2"/>
        <v>387.70403341040412</v>
      </c>
      <c r="AJ25" s="50" t="str">
        <f t="shared" si="1"/>
        <v/>
      </c>
    </row>
    <row r="26" spans="6:36" x14ac:dyDescent="0.25">
      <c r="F26" s="49"/>
      <c r="AB26" s="38">
        <f>AA27*$H$4</f>
        <v>367.03969108560312</v>
      </c>
      <c r="AD26" s="21">
        <f>IF(AB26&lt;&gt;0,AB26,"")</f>
        <v>367.03969108560312</v>
      </c>
      <c r="AE26" s="21" t="str">
        <f t="shared" ref="AE26:AE71" si="6">IF(AC26&lt;&gt;0,AC26,"")</f>
        <v/>
      </c>
      <c r="AF26" s="21">
        <f t="shared" si="5"/>
        <v>367.03969108560312</v>
      </c>
      <c r="AG26" s="21" t="str">
        <f t="shared" si="4"/>
        <v/>
      </c>
      <c r="AH26" s="21">
        <f t="shared" si="3"/>
        <v>367.03969108560312</v>
      </c>
      <c r="AI26" s="21" t="str">
        <f t="shared" si="2"/>
        <v/>
      </c>
      <c r="AJ26" s="50">
        <f t="shared" si="1"/>
        <v>367.03969108560312</v>
      </c>
    </row>
    <row r="27" spans="6:36" x14ac:dyDescent="0.25">
      <c r="F27" s="49"/>
      <c r="AA27" s="38">
        <f>Z28*$H$4</f>
        <v>347.47674314135668</v>
      </c>
      <c r="AC27" s="21">
        <f>IF(AA27&lt;&gt;0,AA27,"")</f>
        <v>347.47674314135668</v>
      </c>
      <c r="AD27" s="21" t="str">
        <f t="shared" ref="AD27:AD70" si="7">IF(AB27&lt;&gt;0,AB27,"")</f>
        <v/>
      </c>
      <c r="AE27" s="21">
        <f t="shared" si="6"/>
        <v>347.47674314135668</v>
      </c>
      <c r="AF27" s="21" t="str">
        <f t="shared" si="5"/>
        <v/>
      </c>
      <c r="AG27" s="21">
        <f t="shared" si="4"/>
        <v>347.47674314135668</v>
      </c>
      <c r="AH27" s="21" t="str">
        <f t="shared" si="3"/>
        <v/>
      </c>
      <c r="AI27" s="21">
        <f t="shared" si="2"/>
        <v>347.47674314135668</v>
      </c>
      <c r="AJ27" s="50" t="str">
        <f t="shared" si="1"/>
        <v/>
      </c>
    </row>
    <row r="28" spans="6:36" x14ac:dyDescent="0.25">
      <c r="F28" s="49"/>
      <c r="Z28" s="38">
        <f>Y29*$H$4</f>
        <v>328.95648606015385</v>
      </c>
      <c r="AB28" s="21">
        <f>IF(Z28&lt;&gt;0,Z28,"")</f>
        <v>328.95648606015385</v>
      </c>
      <c r="AC28" s="21" t="str">
        <f t="shared" ref="AC28:AC69" si="8">IF(AA28&lt;&gt;0,AA28,"")</f>
        <v/>
      </c>
      <c r="AD28" s="21">
        <f t="shared" si="7"/>
        <v>328.95648606015385</v>
      </c>
      <c r="AE28" s="21" t="str">
        <f t="shared" si="6"/>
        <v/>
      </c>
      <c r="AF28" s="21">
        <f t="shared" si="5"/>
        <v>328.95648606015385</v>
      </c>
      <c r="AG28" s="21" t="str">
        <f t="shared" si="4"/>
        <v/>
      </c>
      <c r="AH28" s="21">
        <f t="shared" si="3"/>
        <v>328.95648606015385</v>
      </c>
      <c r="AI28" s="21" t="str">
        <f t="shared" si="2"/>
        <v/>
      </c>
      <c r="AJ28" s="50">
        <f t="shared" si="1"/>
        <v>328.95648606015385</v>
      </c>
    </row>
    <row r="29" spans="6:36" x14ac:dyDescent="0.25">
      <c r="F29" s="49"/>
      <c r="Y29" s="38">
        <f>X30*$H$4</f>
        <v>311.42334517916908</v>
      </c>
      <c r="AA29" s="21">
        <f>IF(Y29&lt;&gt;0,Y29,"")</f>
        <v>311.42334517916908</v>
      </c>
      <c r="AB29" s="21" t="str">
        <f t="shared" ref="AB29:AB68" si="9">IF(Z29&lt;&gt;0,Z29,"")</f>
        <v/>
      </c>
      <c r="AC29" s="21">
        <f t="shared" si="8"/>
        <v>311.42334517916908</v>
      </c>
      <c r="AD29" s="21" t="str">
        <f t="shared" si="7"/>
        <v/>
      </c>
      <c r="AE29" s="21">
        <f t="shared" si="6"/>
        <v>311.42334517916908</v>
      </c>
      <c r="AF29" s="21" t="str">
        <f t="shared" si="5"/>
        <v/>
      </c>
      <c r="AG29" s="21">
        <f t="shared" si="4"/>
        <v>311.42334517916908</v>
      </c>
      <c r="AH29" s="21" t="str">
        <f t="shared" si="3"/>
        <v/>
      </c>
      <c r="AI29" s="21">
        <f t="shared" si="2"/>
        <v>311.42334517916908</v>
      </c>
      <c r="AJ29" s="50" t="str">
        <f t="shared" si="1"/>
        <v/>
      </c>
    </row>
    <row r="30" spans="6:36" x14ac:dyDescent="0.25">
      <c r="F30" s="49"/>
      <c r="X30" s="38">
        <f>W31*$H$4</f>
        <v>294.82470792458867</v>
      </c>
      <c r="Z30" s="21">
        <f>IF(X30&lt;&gt;0,X30,"")</f>
        <v>294.82470792458867</v>
      </c>
      <c r="AA30" s="21" t="str">
        <f t="shared" ref="AA30:AA66" si="10">IF(Y30&lt;&gt;0,Y30,"")</f>
        <v/>
      </c>
      <c r="AB30" s="21">
        <f t="shared" si="9"/>
        <v>294.82470792458867</v>
      </c>
      <c r="AC30" s="21" t="str">
        <f t="shared" si="8"/>
        <v/>
      </c>
      <c r="AD30" s="21">
        <f t="shared" si="7"/>
        <v>294.82470792458867</v>
      </c>
      <c r="AE30" s="21" t="str">
        <f t="shared" si="6"/>
        <v/>
      </c>
      <c r="AF30" s="21">
        <f t="shared" si="5"/>
        <v>294.82470792458867</v>
      </c>
      <c r="AG30" s="21" t="str">
        <f t="shared" si="4"/>
        <v/>
      </c>
      <c r="AH30" s="21">
        <f t="shared" si="3"/>
        <v>294.82470792458867</v>
      </c>
      <c r="AI30" s="21" t="str">
        <f t="shared" si="2"/>
        <v/>
      </c>
      <c r="AJ30" s="50">
        <f t="shared" si="1"/>
        <v>294.82470792458867</v>
      </c>
    </row>
    <row r="31" spans="6:36" x14ac:dyDescent="0.25">
      <c r="F31" s="49"/>
      <c r="W31" s="38">
        <f>V32*$H$4</f>
        <v>279.11076593442601</v>
      </c>
      <c r="Y31" s="21">
        <f>W31</f>
        <v>279.11076593442601</v>
      </c>
      <c r="Z31" s="21" t="str">
        <f>IF(X31&lt;&gt;0,X31,"")</f>
        <v/>
      </c>
      <c r="AA31" s="21">
        <f t="shared" si="10"/>
        <v>279.11076593442601</v>
      </c>
      <c r="AB31" s="21" t="str">
        <f t="shared" si="9"/>
        <v/>
      </c>
      <c r="AC31" s="21">
        <f t="shared" si="8"/>
        <v>279.11076593442601</v>
      </c>
      <c r="AD31" s="21" t="str">
        <f t="shared" si="7"/>
        <v/>
      </c>
      <c r="AE31" s="21">
        <f t="shared" si="6"/>
        <v>279.11076593442601</v>
      </c>
      <c r="AF31" s="21" t="str">
        <f t="shared" si="5"/>
        <v/>
      </c>
      <c r="AG31" s="21">
        <f t="shared" si="4"/>
        <v>279.11076593442601</v>
      </c>
      <c r="AH31" s="21" t="str">
        <f t="shared" si="3"/>
        <v/>
      </c>
      <c r="AI31" s="21">
        <f t="shared" si="2"/>
        <v>279.11076593442601</v>
      </c>
      <c r="AJ31" s="50" t="str">
        <f t="shared" si="1"/>
        <v/>
      </c>
    </row>
    <row r="32" spans="6:36" x14ac:dyDescent="0.25">
      <c r="F32" s="49"/>
      <c r="V32" s="38">
        <f>U33*$H$4</f>
        <v>264.23436559607552</v>
      </c>
      <c r="X32" s="21">
        <f>V32</f>
        <v>264.23436559607552</v>
      </c>
      <c r="Z32" s="21">
        <f t="shared" ref="Z32:AA67" si="11">IF(X32&lt;&gt;0,X32,"")</f>
        <v>264.23436559607552</v>
      </c>
      <c r="AA32" s="21" t="str">
        <f t="shared" si="10"/>
        <v/>
      </c>
      <c r="AB32" s="21">
        <f t="shared" si="9"/>
        <v>264.23436559607552</v>
      </c>
      <c r="AC32" s="21" t="str">
        <f t="shared" si="8"/>
        <v/>
      </c>
      <c r="AD32" s="21">
        <f t="shared" si="7"/>
        <v>264.23436559607552</v>
      </c>
      <c r="AE32" s="21" t="str">
        <f t="shared" si="6"/>
        <v/>
      </c>
      <c r="AF32" s="21">
        <f t="shared" si="5"/>
        <v>264.23436559607552</v>
      </c>
      <c r="AG32" s="21" t="str">
        <f t="shared" si="4"/>
        <v/>
      </c>
      <c r="AH32" s="21">
        <f t="shared" si="3"/>
        <v>264.23436559607552</v>
      </c>
      <c r="AI32" s="21" t="str">
        <f t="shared" si="2"/>
        <v/>
      </c>
      <c r="AJ32" s="50">
        <f t="shared" si="1"/>
        <v>264.23436559607552</v>
      </c>
    </row>
    <row r="33" spans="6:36" x14ac:dyDescent="0.25">
      <c r="F33" s="49"/>
      <c r="U33" s="38">
        <f>T34*$H$4</f>
        <v>250.15086655010612</v>
      </c>
      <c r="W33" s="21">
        <f>U33</f>
        <v>250.15086655010612</v>
      </c>
      <c r="Y33" s="21">
        <f>W33</f>
        <v>250.15086655010612</v>
      </c>
      <c r="Z33" s="21" t="str">
        <f t="shared" si="11"/>
        <v/>
      </c>
      <c r="AA33" s="21">
        <f t="shared" si="10"/>
        <v>250.15086655010612</v>
      </c>
      <c r="AB33" s="21" t="str">
        <f t="shared" si="9"/>
        <v/>
      </c>
      <c r="AC33" s="21">
        <f t="shared" si="8"/>
        <v>250.15086655010612</v>
      </c>
      <c r="AD33" s="21" t="str">
        <f t="shared" si="7"/>
        <v/>
      </c>
      <c r="AE33" s="21">
        <f t="shared" si="6"/>
        <v>250.15086655010612</v>
      </c>
      <c r="AF33" s="21" t="str">
        <f t="shared" si="5"/>
        <v/>
      </c>
      <c r="AG33" s="21">
        <f t="shared" si="4"/>
        <v>250.15086655010612</v>
      </c>
      <c r="AH33" s="21" t="str">
        <f t="shared" si="3"/>
        <v/>
      </c>
      <c r="AI33" s="21">
        <f t="shared" si="2"/>
        <v>250.15086655010612</v>
      </c>
      <c r="AJ33" s="50" t="str">
        <f t="shared" si="1"/>
        <v/>
      </c>
    </row>
    <row r="34" spans="6:36" x14ac:dyDescent="0.25">
      <c r="F34" s="49"/>
      <c r="T34" s="38">
        <f>S35*$H$4</f>
        <v>236.81800773569924</v>
      </c>
      <c r="V34" s="21">
        <f>T34</f>
        <v>236.81800773569924</v>
      </c>
      <c r="X34" s="21">
        <f>V34</f>
        <v>236.81800773569924</v>
      </c>
      <c r="Z34" s="21">
        <f t="shared" si="11"/>
        <v>236.81800773569924</v>
      </c>
      <c r="AA34" s="21" t="str">
        <f t="shared" si="10"/>
        <v/>
      </c>
      <c r="AB34" s="21">
        <f t="shared" si="9"/>
        <v>236.81800773569924</v>
      </c>
      <c r="AC34" s="21" t="str">
        <f t="shared" si="8"/>
        <v/>
      </c>
      <c r="AD34" s="21">
        <f t="shared" si="7"/>
        <v>236.81800773569924</v>
      </c>
      <c r="AE34" s="21" t="str">
        <f t="shared" si="6"/>
        <v/>
      </c>
      <c r="AF34" s="21">
        <f t="shared" si="5"/>
        <v>236.81800773569924</v>
      </c>
      <c r="AG34" s="21" t="str">
        <f t="shared" si="4"/>
        <v/>
      </c>
      <c r="AH34" s="21">
        <f t="shared" si="3"/>
        <v>236.81800773569924</v>
      </c>
      <c r="AI34" s="21" t="str">
        <f t="shared" si="2"/>
        <v/>
      </c>
      <c r="AJ34" s="50">
        <f t="shared" si="1"/>
        <v>236.81800773569924</v>
      </c>
    </row>
    <row r="35" spans="6:36" x14ac:dyDescent="0.25">
      <c r="F35" s="49"/>
      <c r="S35" s="38">
        <f>R36*$H$4</f>
        <v>224.19578057576757</v>
      </c>
      <c r="U35" s="21">
        <f>S35</f>
        <v>224.19578057576757</v>
      </c>
      <c r="W35" s="21">
        <f>U35</f>
        <v>224.19578057576757</v>
      </c>
      <c r="Y35" s="21">
        <f>W35</f>
        <v>224.19578057576757</v>
      </c>
      <c r="Z35" s="21" t="str">
        <f t="shared" si="11"/>
        <v/>
      </c>
      <c r="AA35" s="21">
        <f t="shared" si="10"/>
        <v>224.19578057576757</v>
      </c>
      <c r="AB35" s="21" t="str">
        <f t="shared" si="9"/>
        <v/>
      </c>
      <c r="AC35" s="21">
        <f t="shared" si="8"/>
        <v>224.19578057576757</v>
      </c>
      <c r="AD35" s="21" t="str">
        <f t="shared" si="7"/>
        <v/>
      </c>
      <c r="AE35" s="21">
        <f t="shared" si="6"/>
        <v>224.19578057576757</v>
      </c>
      <c r="AF35" s="21" t="str">
        <f t="shared" si="5"/>
        <v/>
      </c>
      <c r="AG35" s="21">
        <f t="shared" si="4"/>
        <v>224.19578057576757</v>
      </c>
      <c r="AH35" s="21" t="str">
        <f t="shared" si="3"/>
        <v/>
      </c>
      <c r="AI35" s="21">
        <f t="shared" si="2"/>
        <v>224.19578057576757</v>
      </c>
      <c r="AJ35" s="50" t="str">
        <f t="shared" si="1"/>
        <v/>
      </c>
    </row>
    <row r="36" spans="6:36" x14ac:dyDescent="0.25">
      <c r="F36" s="49"/>
      <c r="R36" s="38">
        <f>Q37*$H$4</f>
        <v>212.24630892121422</v>
      </c>
      <c r="T36" s="21">
        <f>R36</f>
        <v>212.24630892121422</v>
      </c>
      <c r="V36" s="21">
        <f>T36</f>
        <v>212.24630892121422</v>
      </c>
      <c r="X36" s="21">
        <f>V36</f>
        <v>212.24630892121422</v>
      </c>
      <c r="Z36" s="21">
        <f t="shared" si="11"/>
        <v>212.24630892121422</v>
      </c>
      <c r="AA36" s="21" t="str">
        <f t="shared" si="10"/>
        <v/>
      </c>
      <c r="AB36" s="21">
        <f t="shared" si="9"/>
        <v>212.24630892121422</v>
      </c>
      <c r="AC36" s="21" t="str">
        <f t="shared" si="8"/>
        <v/>
      </c>
      <c r="AD36" s="21">
        <f t="shared" si="7"/>
        <v>212.24630892121422</v>
      </c>
      <c r="AE36" s="21" t="str">
        <f t="shared" si="6"/>
        <v/>
      </c>
      <c r="AF36" s="21">
        <f t="shared" si="5"/>
        <v>212.24630892121422</v>
      </c>
      <c r="AG36" s="21" t="str">
        <f t="shared" si="4"/>
        <v/>
      </c>
      <c r="AH36" s="21">
        <f t="shared" si="3"/>
        <v>212.24630892121422</v>
      </c>
      <c r="AI36" s="21" t="str">
        <f t="shared" si="2"/>
        <v/>
      </c>
      <c r="AJ36" s="50">
        <f t="shared" si="1"/>
        <v>212.24630892121422</v>
      </c>
    </row>
    <row r="37" spans="6:36" x14ac:dyDescent="0.25">
      <c r="F37" s="49"/>
      <c r="Q37" s="38">
        <f>P38*$H$4</f>
        <v>200.93373539407551</v>
      </c>
      <c r="S37" s="21">
        <f>Q37</f>
        <v>200.93373539407551</v>
      </c>
      <c r="U37" s="21">
        <f>S37</f>
        <v>200.93373539407551</v>
      </c>
      <c r="W37" s="21">
        <f>U37</f>
        <v>200.93373539407551</v>
      </c>
      <c r="Y37" s="21">
        <f>W37</f>
        <v>200.93373539407551</v>
      </c>
      <c r="Z37" s="21" t="str">
        <f t="shared" si="11"/>
        <v/>
      </c>
      <c r="AA37" s="21">
        <f t="shared" si="10"/>
        <v>200.93373539407551</v>
      </c>
      <c r="AB37" s="21" t="str">
        <f t="shared" si="9"/>
        <v/>
      </c>
      <c r="AC37" s="21">
        <f t="shared" si="8"/>
        <v>200.93373539407551</v>
      </c>
      <c r="AD37" s="21" t="str">
        <f t="shared" si="7"/>
        <v/>
      </c>
      <c r="AE37" s="21">
        <f t="shared" si="6"/>
        <v>200.93373539407551</v>
      </c>
      <c r="AF37" s="21" t="str">
        <f t="shared" si="5"/>
        <v/>
      </c>
      <c r="AG37" s="21">
        <f t="shared" si="4"/>
        <v>200.93373539407551</v>
      </c>
      <c r="AH37" s="21" t="str">
        <f t="shared" si="3"/>
        <v/>
      </c>
      <c r="AI37" s="21">
        <f t="shared" si="2"/>
        <v>200.93373539407551</v>
      </c>
      <c r="AJ37" s="50" t="str">
        <f t="shared" si="1"/>
        <v/>
      </c>
    </row>
    <row r="38" spans="6:36" x14ac:dyDescent="0.25">
      <c r="F38" s="49"/>
      <c r="P38" s="38">
        <f>O39*$H$4</f>
        <v>190.22411378849142</v>
      </c>
      <c r="R38" s="21">
        <f>P38</f>
        <v>190.22411378849142</v>
      </c>
      <c r="T38" s="21">
        <f>R38</f>
        <v>190.22411378849142</v>
      </c>
      <c r="V38" s="21">
        <f>T38</f>
        <v>190.22411378849142</v>
      </c>
      <c r="X38" s="21">
        <f>V38</f>
        <v>190.22411378849142</v>
      </c>
      <c r="Z38" s="21">
        <f t="shared" si="11"/>
        <v>190.22411378849142</v>
      </c>
      <c r="AA38" s="21" t="str">
        <f t="shared" si="10"/>
        <v/>
      </c>
      <c r="AB38" s="21">
        <f t="shared" si="9"/>
        <v>190.22411378849142</v>
      </c>
      <c r="AC38" s="21" t="str">
        <f t="shared" si="8"/>
        <v/>
      </c>
      <c r="AD38" s="21">
        <f t="shared" si="7"/>
        <v>190.22411378849142</v>
      </c>
      <c r="AE38" s="21" t="str">
        <f t="shared" si="6"/>
        <v/>
      </c>
      <c r="AF38" s="21">
        <f t="shared" si="5"/>
        <v>190.22411378849142</v>
      </c>
      <c r="AG38" s="21" t="str">
        <f t="shared" si="4"/>
        <v/>
      </c>
      <c r="AH38" s="21">
        <f t="shared" si="3"/>
        <v>190.22411378849142</v>
      </c>
      <c r="AI38" s="21" t="str">
        <f t="shared" si="2"/>
        <v/>
      </c>
      <c r="AJ38" s="50">
        <f t="shared" si="1"/>
        <v>190.22411378849142</v>
      </c>
    </row>
    <row r="39" spans="6:36" x14ac:dyDescent="0.25">
      <c r="F39" s="49"/>
      <c r="O39" s="38">
        <f>N40*$H$4</f>
        <v>180.08530720662571</v>
      </c>
      <c r="Q39" s="21">
        <f>O39</f>
        <v>180.08530720662571</v>
      </c>
      <c r="S39" s="21">
        <f>Q39</f>
        <v>180.08530720662571</v>
      </c>
      <c r="U39" s="21">
        <f>S39</f>
        <v>180.08530720662571</v>
      </c>
      <c r="W39" s="21">
        <f>U39</f>
        <v>180.08530720662571</v>
      </c>
      <c r="Y39" s="21">
        <f>W39</f>
        <v>180.08530720662571</v>
      </c>
      <c r="Z39" s="21" t="str">
        <f t="shared" si="11"/>
        <v/>
      </c>
      <c r="AA39" s="21">
        <f t="shared" si="10"/>
        <v>180.08530720662571</v>
      </c>
      <c r="AB39" s="21" t="str">
        <f t="shared" si="9"/>
        <v/>
      </c>
      <c r="AC39" s="21">
        <f t="shared" si="8"/>
        <v>180.08530720662571</v>
      </c>
      <c r="AD39" s="21" t="str">
        <f t="shared" si="7"/>
        <v/>
      </c>
      <c r="AE39" s="21">
        <f t="shared" si="6"/>
        <v>180.08530720662571</v>
      </c>
      <c r="AF39" s="21" t="str">
        <f t="shared" si="5"/>
        <v/>
      </c>
      <c r="AG39" s="21">
        <f t="shared" si="4"/>
        <v>180.08530720662571</v>
      </c>
      <c r="AH39" s="21" t="str">
        <f t="shared" si="3"/>
        <v/>
      </c>
      <c r="AI39" s="21">
        <f t="shared" si="2"/>
        <v>180.08530720662571</v>
      </c>
      <c r="AJ39" s="50" t="str">
        <f t="shared" si="1"/>
        <v/>
      </c>
    </row>
    <row r="40" spans="6:36" x14ac:dyDescent="0.25">
      <c r="F40" s="49"/>
      <c r="N40" s="38">
        <f>M41*$H$4</f>
        <v>170.48689162386742</v>
      </c>
      <c r="P40" s="21">
        <f>N40</f>
        <v>170.48689162386742</v>
      </c>
      <c r="R40" s="21">
        <f>P40</f>
        <v>170.48689162386742</v>
      </c>
      <c r="T40" s="21">
        <f>R40</f>
        <v>170.48689162386742</v>
      </c>
      <c r="V40" s="21">
        <f>T40</f>
        <v>170.48689162386742</v>
      </c>
      <c r="X40" s="21">
        <f>V40</f>
        <v>170.48689162386742</v>
      </c>
      <c r="Z40" s="21">
        <f t="shared" si="11"/>
        <v>170.48689162386742</v>
      </c>
      <c r="AA40" s="21" t="str">
        <f t="shared" si="10"/>
        <v/>
      </c>
      <c r="AB40" s="21">
        <f t="shared" si="9"/>
        <v>170.48689162386742</v>
      </c>
      <c r="AC40" s="21" t="str">
        <f t="shared" si="8"/>
        <v/>
      </c>
      <c r="AD40" s="21">
        <f t="shared" si="7"/>
        <v>170.48689162386742</v>
      </c>
      <c r="AE40" s="21" t="str">
        <f t="shared" si="6"/>
        <v/>
      </c>
      <c r="AF40" s="21">
        <f t="shared" si="5"/>
        <v>170.48689162386742</v>
      </c>
      <c r="AG40" s="21" t="str">
        <f t="shared" si="4"/>
        <v/>
      </c>
      <c r="AH40" s="21">
        <f t="shared" si="3"/>
        <v>170.48689162386742</v>
      </c>
      <c r="AI40" s="21" t="str">
        <f t="shared" si="2"/>
        <v/>
      </c>
      <c r="AJ40" s="50">
        <f t="shared" si="1"/>
        <v>170.48689162386742</v>
      </c>
    </row>
    <row r="41" spans="6:36" x14ac:dyDescent="0.25">
      <c r="F41" s="22"/>
      <c r="G41" s="38"/>
      <c r="H41" s="38"/>
      <c r="I41" s="38"/>
      <c r="J41" s="38"/>
      <c r="K41" s="38"/>
      <c r="L41" s="38"/>
      <c r="M41" s="38">
        <f>L42*$H$4</f>
        <v>161.40006459393663</v>
      </c>
      <c r="O41" s="21">
        <f>M41</f>
        <v>161.40006459393663</v>
      </c>
      <c r="Q41" s="21">
        <f>O41</f>
        <v>161.40006459393663</v>
      </c>
      <c r="S41" s="21">
        <f>Q41</f>
        <v>161.40006459393663</v>
      </c>
      <c r="U41" s="21">
        <f>S41</f>
        <v>161.40006459393663</v>
      </c>
      <c r="W41" s="21">
        <f>U41</f>
        <v>161.40006459393663</v>
      </c>
      <c r="Y41" s="21">
        <f>W41</f>
        <v>161.40006459393663</v>
      </c>
      <c r="Z41" s="21" t="str">
        <f t="shared" si="11"/>
        <v/>
      </c>
      <c r="AA41" s="21">
        <f t="shared" si="10"/>
        <v>161.40006459393663</v>
      </c>
      <c r="AB41" s="21" t="str">
        <f t="shared" si="9"/>
        <v/>
      </c>
      <c r="AC41" s="21">
        <f t="shared" si="8"/>
        <v>161.40006459393663</v>
      </c>
      <c r="AD41" s="21" t="str">
        <f t="shared" si="7"/>
        <v/>
      </c>
      <c r="AE41" s="21">
        <f t="shared" si="6"/>
        <v>161.40006459393663</v>
      </c>
      <c r="AF41" s="21" t="str">
        <f t="shared" si="5"/>
        <v/>
      </c>
      <c r="AG41" s="21">
        <f t="shared" si="4"/>
        <v>161.40006459393663</v>
      </c>
      <c r="AH41" s="21" t="str">
        <f t="shared" si="3"/>
        <v/>
      </c>
      <c r="AI41" s="21">
        <f t="shared" si="2"/>
        <v>161.40006459393663</v>
      </c>
      <c r="AJ41" s="50" t="str">
        <f t="shared" si="1"/>
        <v/>
      </c>
    </row>
    <row r="42" spans="6:36" x14ac:dyDescent="0.25">
      <c r="F42" s="49"/>
      <c r="L42" s="38">
        <f>K43*$H$4</f>
        <v>152.79755881994177</v>
      </c>
      <c r="M42" s="55"/>
      <c r="N42" s="21">
        <f>L42</f>
        <v>152.79755881994177</v>
      </c>
      <c r="P42" s="21">
        <f>N42</f>
        <v>152.79755881994177</v>
      </c>
      <c r="R42" s="21">
        <f>P42</f>
        <v>152.79755881994177</v>
      </c>
      <c r="T42" s="21">
        <f>R42</f>
        <v>152.79755881994177</v>
      </c>
      <c r="V42" s="21">
        <f>T42</f>
        <v>152.79755881994177</v>
      </c>
      <c r="X42" s="21">
        <f>V42</f>
        <v>152.79755881994177</v>
      </c>
      <c r="Z42" s="21">
        <f t="shared" si="11"/>
        <v>152.79755881994177</v>
      </c>
      <c r="AA42" s="21" t="str">
        <f t="shared" si="10"/>
        <v/>
      </c>
      <c r="AB42" s="21">
        <f t="shared" si="9"/>
        <v>152.79755881994177</v>
      </c>
      <c r="AC42" s="21" t="str">
        <f t="shared" si="8"/>
        <v/>
      </c>
      <c r="AD42" s="21">
        <f t="shared" si="7"/>
        <v>152.79755881994177</v>
      </c>
      <c r="AE42" s="21" t="str">
        <f t="shared" si="6"/>
        <v/>
      </c>
      <c r="AF42" s="21">
        <f t="shared" si="5"/>
        <v>152.79755881994177</v>
      </c>
      <c r="AG42" s="21" t="str">
        <f t="shared" si="4"/>
        <v/>
      </c>
      <c r="AH42" s="21">
        <f t="shared" si="3"/>
        <v>152.79755881994177</v>
      </c>
      <c r="AI42" s="21" t="str">
        <f t="shared" si="2"/>
        <v/>
      </c>
      <c r="AJ42" s="50">
        <f t="shared" si="1"/>
        <v>152.79755881994177</v>
      </c>
    </row>
    <row r="43" spans="6:36" x14ac:dyDescent="0.25">
      <c r="F43" s="49"/>
      <c r="K43" s="38">
        <f>J44*$H$4</f>
        <v>144.65356033203628</v>
      </c>
      <c r="M43" s="55">
        <f>K43</f>
        <v>144.65356033203628</v>
      </c>
      <c r="O43" s="21">
        <f>M43</f>
        <v>144.65356033203628</v>
      </c>
      <c r="Q43" s="21">
        <f>O43</f>
        <v>144.65356033203628</v>
      </c>
      <c r="S43" s="21">
        <f>Q43</f>
        <v>144.65356033203628</v>
      </c>
      <c r="U43" s="21">
        <f>S43</f>
        <v>144.65356033203628</v>
      </c>
      <c r="W43" s="21">
        <f>U43</f>
        <v>144.65356033203628</v>
      </c>
      <c r="Y43" s="21">
        <f>W43</f>
        <v>144.65356033203628</v>
      </c>
      <c r="Z43" s="21" t="str">
        <f t="shared" si="11"/>
        <v/>
      </c>
      <c r="AA43" s="21">
        <f t="shared" si="10"/>
        <v>144.65356033203628</v>
      </c>
      <c r="AB43" s="21" t="str">
        <f t="shared" si="9"/>
        <v/>
      </c>
      <c r="AC43" s="21">
        <f t="shared" si="8"/>
        <v>144.65356033203628</v>
      </c>
      <c r="AD43" s="21" t="str">
        <f t="shared" si="7"/>
        <v/>
      </c>
      <c r="AE43" s="21">
        <f t="shared" si="6"/>
        <v>144.65356033203628</v>
      </c>
      <c r="AF43" s="21" t="str">
        <f t="shared" si="5"/>
        <v/>
      </c>
      <c r="AG43" s="21">
        <f t="shared" si="4"/>
        <v>144.65356033203628</v>
      </c>
      <c r="AH43" s="21" t="str">
        <f t="shared" si="3"/>
        <v/>
      </c>
      <c r="AI43" s="21">
        <f t="shared" si="2"/>
        <v>144.65356033203628</v>
      </c>
      <c r="AJ43" s="50" t="str">
        <f t="shared" si="1"/>
        <v/>
      </c>
    </row>
    <row r="44" spans="6:36" x14ac:dyDescent="0.25">
      <c r="F44" s="49"/>
      <c r="J44" s="38">
        <f>I45*$H$4</f>
        <v>136.94363102614673</v>
      </c>
      <c r="L44" s="38">
        <f>J44</f>
        <v>136.94363102614673</v>
      </c>
      <c r="M44" s="55"/>
      <c r="N44" s="21">
        <f>L44</f>
        <v>136.94363102614673</v>
      </c>
      <c r="P44" s="21">
        <f>N44</f>
        <v>136.94363102614673</v>
      </c>
      <c r="R44" s="21">
        <f>P44</f>
        <v>136.94363102614673</v>
      </c>
      <c r="T44" s="21">
        <f>R44</f>
        <v>136.94363102614673</v>
      </c>
      <c r="V44" s="21">
        <f>T44</f>
        <v>136.94363102614673</v>
      </c>
      <c r="X44" s="21">
        <f>V44</f>
        <v>136.94363102614673</v>
      </c>
      <c r="Z44" s="21">
        <f t="shared" si="11"/>
        <v>136.94363102614673</v>
      </c>
      <c r="AA44" s="21" t="str">
        <f t="shared" si="10"/>
        <v/>
      </c>
      <c r="AB44" s="21">
        <f t="shared" si="9"/>
        <v>136.94363102614673</v>
      </c>
      <c r="AC44" s="21" t="str">
        <f t="shared" si="8"/>
        <v/>
      </c>
      <c r="AD44" s="21">
        <f t="shared" si="7"/>
        <v>136.94363102614673</v>
      </c>
      <c r="AE44" s="21" t="str">
        <f t="shared" si="6"/>
        <v/>
      </c>
      <c r="AF44" s="21">
        <f t="shared" si="5"/>
        <v>136.94363102614673</v>
      </c>
      <c r="AG44" s="21" t="str">
        <f t="shared" si="4"/>
        <v/>
      </c>
      <c r="AH44" s="21">
        <f t="shared" si="3"/>
        <v>136.94363102614673</v>
      </c>
      <c r="AI44" s="21" t="str">
        <f t="shared" si="2"/>
        <v/>
      </c>
      <c r="AJ44" s="50">
        <f t="shared" si="1"/>
        <v>136.94363102614673</v>
      </c>
    </row>
    <row r="45" spans="6:36" x14ac:dyDescent="0.25">
      <c r="F45" s="22"/>
      <c r="G45" s="38"/>
      <c r="H45" s="38"/>
      <c r="I45" s="38">
        <f>H46*$H$4</f>
        <v>129.64463533133022</v>
      </c>
      <c r="K45" s="38">
        <f>I45</f>
        <v>129.64463533133022</v>
      </c>
      <c r="M45" s="55">
        <f>K45</f>
        <v>129.64463533133022</v>
      </c>
      <c r="O45" s="21">
        <f>M45</f>
        <v>129.64463533133022</v>
      </c>
      <c r="Q45" s="21">
        <f>O45</f>
        <v>129.64463533133022</v>
      </c>
      <c r="S45" s="21">
        <f>Q45</f>
        <v>129.64463533133022</v>
      </c>
      <c r="U45" s="21">
        <f>S45</f>
        <v>129.64463533133022</v>
      </c>
      <c r="W45" s="21">
        <f>U45</f>
        <v>129.64463533133022</v>
      </c>
      <c r="Y45" s="21">
        <f>W45</f>
        <v>129.64463533133022</v>
      </c>
      <c r="Z45" s="21" t="str">
        <f t="shared" si="11"/>
        <v/>
      </c>
      <c r="AA45" s="21">
        <f t="shared" si="10"/>
        <v>129.64463533133022</v>
      </c>
      <c r="AB45" s="21" t="str">
        <f t="shared" si="9"/>
        <v/>
      </c>
      <c r="AC45" s="21">
        <f t="shared" si="8"/>
        <v>129.64463533133022</v>
      </c>
      <c r="AD45" s="21" t="str">
        <f t="shared" si="7"/>
        <v/>
      </c>
      <c r="AE45" s="21">
        <f t="shared" si="6"/>
        <v>129.64463533133022</v>
      </c>
      <c r="AF45" s="21" t="str">
        <f t="shared" si="5"/>
        <v/>
      </c>
      <c r="AG45" s="21">
        <f t="shared" si="4"/>
        <v>129.64463533133022</v>
      </c>
      <c r="AH45" s="21" t="str">
        <f t="shared" si="3"/>
        <v/>
      </c>
      <c r="AI45" s="21">
        <f t="shared" si="2"/>
        <v>129.64463533133022</v>
      </c>
      <c r="AJ45" s="50" t="str">
        <f t="shared" si="1"/>
        <v/>
      </c>
    </row>
    <row r="46" spans="6:36" x14ac:dyDescent="0.25">
      <c r="F46" s="22"/>
      <c r="G46" s="38"/>
      <c r="H46" s="38">
        <f>G47*$H$4</f>
        <v>122.73467078570806</v>
      </c>
      <c r="I46" s="38"/>
      <c r="J46" s="38">
        <f>H46</f>
        <v>122.73467078570806</v>
      </c>
      <c r="L46" s="38">
        <f>J46</f>
        <v>122.73467078570806</v>
      </c>
      <c r="M46" s="55"/>
      <c r="N46" s="21">
        <f>L46</f>
        <v>122.73467078570806</v>
      </c>
      <c r="P46" s="21">
        <f>N46</f>
        <v>122.73467078570806</v>
      </c>
      <c r="R46" s="21">
        <f>P46</f>
        <v>122.73467078570806</v>
      </c>
      <c r="T46" s="21">
        <f>R46</f>
        <v>122.73467078570806</v>
      </c>
      <c r="V46" s="21">
        <f>T46</f>
        <v>122.73467078570806</v>
      </c>
      <c r="X46" s="21">
        <f>V46</f>
        <v>122.73467078570806</v>
      </c>
      <c r="Z46" s="21">
        <f t="shared" si="11"/>
        <v>122.73467078570806</v>
      </c>
      <c r="AA46" s="21" t="str">
        <f t="shared" si="10"/>
        <v/>
      </c>
      <c r="AB46" s="21">
        <f t="shared" si="9"/>
        <v>122.73467078570806</v>
      </c>
      <c r="AC46" s="21" t="str">
        <f t="shared" si="8"/>
        <v/>
      </c>
      <c r="AD46" s="21">
        <f t="shared" si="7"/>
        <v>122.73467078570806</v>
      </c>
      <c r="AE46" s="21" t="str">
        <f t="shared" si="6"/>
        <v/>
      </c>
      <c r="AF46" s="21">
        <f t="shared" si="5"/>
        <v>122.73467078570806</v>
      </c>
      <c r="AG46" s="21" t="str">
        <f t="shared" si="4"/>
        <v/>
      </c>
      <c r="AH46" s="21">
        <f t="shared" si="3"/>
        <v>122.73467078570806</v>
      </c>
      <c r="AI46" s="21" t="str">
        <f t="shared" si="2"/>
        <v/>
      </c>
      <c r="AJ46" s="50">
        <f t="shared" si="1"/>
        <v>122.73467078570806</v>
      </c>
    </row>
    <row r="47" spans="6:36" x14ac:dyDescent="0.25">
      <c r="F47" s="22"/>
      <c r="G47" s="38">
        <f>F48*$H$4</f>
        <v>116.19300231265171</v>
      </c>
      <c r="H47" s="38"/>
      <c r="I47" s="38">
        <f>G47</f>
        <v>116.19300231265171</v>
      </c>
      <c r="K47" s="38">
        <f>I47</f>
        <v>116.19300231265171</v>
      </c>
      <c r="M47" s="55">
        <f>K47</f>
        <v>116.19300231265171</v>
      </c>
      <c r="O47" s="21">
        <f>M47</f>
        <v>116.19300231265171</v>
      </c>
      <c r="Q47" s="21">
        <f>O47</f>
        <v>116.19300231265171</v>
      </c>
      <c r="S47" s="21">
        <f>Q47</f>
        <v>116.19300231265171</v>
      </c>
      <c r="U47" s="21">
        <f>S47</f>
        <v>116.19300231265171</v>
      </c>
      <c r="W47" s="21">
        <f>U47</f>
        <v>116.19300231265171</v>
      </c>
      <c r="Y47" s="21">
        <f>W47</f>
        <v>116.19300231265171</v>
      </c>
      <c r="Z47" s="21" t="str">
        <f t="shared" si="11"/>
        <v/>
      </c>
      <c r="AA47" s="21">
        <f t="shared" si="10"/>
        <v>116.19300231265171</v>
      </c>
      <c r="AB47" s="21" t="str">
        <f t="shared" si="9"/>
        <v/>
      </c>
      <c r="AC47" s="21">
        <f t="shared" si="8"/>
        <v>116.19300231265171</v>
      </c>
      <c r="AD47" s="21" t="str">
        <f t="shared" si="7"/>
        <v/>
      </c>
      <c r="AE47" s="21">
        <f t="shared" si="6"/>
        <v>116.19300231265171</v>
      </c>
      <c r="AF47" s="21" t="str">
        <f t="shared" si="5"/>
        <v/>
      </c>
      <c r="AG47" s="21">
        <f t="shared" si="4"/>
        <v>116.19300231265171</v>
      </c>
      <c r="AH47" s="21" t="str">
        <f t="shared" si="3"/>
        <v/>
      </c>
      <c r="AI47" s="21">
        <f t="shared" si="2"/>
        <v>116.19300231265171</v>
      </c>
      <c r="AJ47" s="50" t="str">
        <f t="shared" si="1"/>
        <v/>
      </c>
    </row>
    <row r="48" spans="6:36" x14ac:dyDescent="0.25">
      <c r="F48" s="22">
        <f>C1</f>
        <v>110</v>
      </c>
      <c r="G48" s="38"/>
      <c r="H48" s="38">
        <f>F48</f>
        <v>110</v>
      </c>
      <c r="I48" s="38"/>
      <c r="J48" s="38">
        <f>H48</f>
        <v>110</v>
      </c>
      <c r="L48" s="38">
        <f>J48</f>
        <v>110</v>
      </c>
      <c r="M48" s="55"/>
      <c r="N48" s="21">
        <f>L48</f>
        <v>110</v>
      </c>
      <c r="P48" s="21">
        <f>N48</f>
        <v>110</v>
      </c>
      <c r="R48" s="21">
        <f>P48</f>
        <v>110</v>
      </c>
      <c r="T48" s="21">
        <f>R48</f>
        <v>110</v>
      </c>
      <c r="V48" s="21">
        <f>T48</f>
        <v>110</v>
      </c>
      <c r="X48" s="21">
        <f>V48</f>
        <v>110</v>
      </c>
      <c r="Z48" s="21">
        <f t="shared" si="11"/>
        <v>110</v>
      </c>
      <c r="AA48" s="21" t="str">
        <f t="shared" si="10"/>
        <v/>
      </c>
      <c r="AB48" s="21">
        <f t="shared" si="9"/>
        <v>110</v>
      </c>
      <c r="AC48" s="21" t="str">
        <f t="shared" si="8"/>
        <v/>
      </c>
      <c r="AD48" s="21">
        <f t="shared" si="7"/>
        <v>110</v>
      </c>
      <c r="AE48" s="21" t="str">
        <f t="shared" si="6"/>
        <v/>
      </c>
      <c r="AF48" s="21">
        <f t="shared" si="5"/>
        <v>110</v>
      </c>
      <c r="AG48" s="21" t="str">
        <f t="shared" si="4"/>
        <v/>
      </c>
      <c r="AH48" s="21">
        <f t="shared" si="3"/>
        <v>110</v>
      </c>
      <c r="AI48" s="21" t="str">
        <f t="shared" si="2"/>
        <v/>
      </c>
      <c r="AJ48" s="50">
        <f t="shared" si="1"/>
        <v>110</v>
      </c>
    </row>
    <row r="49" spans="6:36" x14ac:dyDescent="0.25">
      <c r="F49" s="22"/>
      <c r="G49" s="38">
        <f>F48*$H$5</f>
        <v>104.13708019559873</v>
      </c>
      <c r="H49" s="38"/>
      <c r="I49" s="38">
        <f>G49</f>
        <v>104.13708019559873</v>
      </c>
      <c r="K49" s="38">
        <f>I49</f>
        <v>104.13708019559873</v>
      </c>
      <c r="M49" s="55">
        <f>K49</f>
        <v>104.13708019559873</v>
      </c>
      <c r="O49" s="21">
        <f>M49</f>
        <v>104.13708019559873</v>
      </c>
      <c r="Q49" s="21">
        <f>O49</f>
        <v>104.13708019559873</v>
      </c>
      <c r="S49" s="21">
        <f>Q49</f>
        <v>104.13708019559873</v>
      </c>
      <c r="U49" s="21">
        <f>S49</f>
        <v>104.13708019559873</v>
      </c>
      <c r="W49" s="21">
        <f>U49</f>
        <v>104.13708019559873</v>
      </c>
      <c r="Y49" s="21">
        <f>W49</f>
        <v>104.13708019559873</v>
      </c>
      <c r="Z49" s="21" t="str">
        <f t="shared" si="11"/>
        <v/>
      </c>
      <c r="AA49" s="21">
        <f t="shared" si="10"/>
        <v>104.13708019559873</v>
      </c>
      <c r="AB49" s="21" t="str">
        <f t="shared" si="9"/>
        <v/>
      </c>
      <c r="AC49" s="21">
        <f t="shared" si="8"/>
        <v>104.13708019559873</v>
      </c>
      <c r="AD49" s="21" t="str">
        <f t="shared" si="7"/>
        <v/>
      </c>
      <c r="AE49" s="21">
        <f t="shared" si="6"/>
        <v>104.13708019559873</v>
      </c>
      <c r="AF49" s="21" t="str">
        <f t="shared" si="5"/>
        <v/>
      </c>
      <c r="AG49" s="21">
        <f t="shared" si="4"/>
        <v>104.13708019559873</v>
      </c>
      <c r="AH49" s="21" t="str">
        <f t="shared" si="3"/>
        <v/>
      </c>
      <c r="AI49" s="21">
        <f t="shared" si="2"/>
        <v>104.13708019559873</v>
      </c>
      <c r="AJ49" s="50" t="str">
        <f t="shared" si="1"/>
        <v/>
      </c>
    </row>
    <row r="50" spans="6:36" x14ac:dyDescent="0.25">
      <c r="F50" s="22"/>
      <c r="G50" s="38"/>
      <c r="H50" s="38">
        <f>G49*$H$5</f>
        <v>98.5866497424051</v>
      </c>
      <c r="I50" s="38"/>
      <c r="J50" s="38">
        <f>H50</f>
        <v>98.5866497424051</v>
      </c>
      <c r="L50" s="38">
        <f>J50</f>
        <v>98.5866497424051</v>
      </c>
      <c r="M50" s="55"/>
      <c r="N50" s="21">
        <f>L50</f>
        <v>98.5866497424051</v>
      </c>
      <c r="P50" s="21">
        <f>N50</f>
        <v>98.5866497424051</v>
      </c>
      <c r="R50" s="21">
        <f>P50</f>
        <v>98.5866497424051</v>
      </c>
      <c r="T50" s="21">
        <f>R50</f>
        <v>98.5866497424051</v>
      </c>
      <c r="V50" s="21">
        <f>T50</f>
        <v>98.5866497424051</v>
      </c>
      <c r="X50" s="21">
        <f>V50</f>
        <v>98.5866497424051</v>
      </c>
      <c r="Z50" s="21">
        <f t="shared" si="11"/>
        <v>98.5866497424051</v>
      </c>
      <c r="AA50" s="21" t="str">
        <f t="shared" si="10"/>
        <v/>
      </c>
      <c r="AB50" s="21">
        <f t="shared" si="9"/>
        <v>98.5866497424051</v>
      </c>
      <c r="AC50" s="21" t="str">
        <f t="shared" si="8"/>
        <v/>
      </c>
      <c r="AD50" s="21">
        <f t="shared" si="7"/>
        <v>98.5866497424051</v>
      </c>
      <c r="AE50" s="21" t="str">
        <f t="shared" si="6"/>
        <v/>
      </c>
      <c r="AF50" s="21">
        <f t="shared" si="5"/>
        <v>98.5866497424051</v>
      </c>
      <c r="AG50" s="21" t="str">
        <f t="shared" si="4"/>
        <v/>
      </c>
      <c r="AH50" s="21">
        <f t="shared" si="3"/>
        <v>98.5866497424051</v>
      </c>
      <c r="AI50" s="21" t="str">
        <f t="shared" si="2"/>
        <v/>
      </c>
      <c r="AJ50" s="50">
        <f t="shared" si="1"/>
        <v>98.5866497424051</v>
      </c>
    </row>
    <row r="51" spans="6:36" x14ac:dyDescent="0.25">
      <c r="F51" s="22"/>
      <c r="G51" s="38"/>
      <c r="H51" s="38"/>
      <c r="I51" s="38">
        <f>H50*$H$5</f>
        <v>93.332053185820385</v>
      </c>
      <c r="K51" s="38">
        <f>I51</f>
        <v>93.332053185820385</v>
      </c>
      <c r="M51" s="55">
        <f>K51</f>
        <v>93.332053185820385</v>
      </c>
      <c r="O51" s="21">
        <f>M51</f>
        <v>93.332053185820385</v>
      </c>
      <c r="Q51" s="21">
        <f>O51</f>
        <v>93.332053185820385</v>
      </c>
      <c r="S51" s="21">
        <f>Q51</f>
        <v>93.332053185820385</v>
      </c>
      <c r="U51" s="21">
        <f>S51</f>
        <v>93.332053185820385</v>
      </c>
      <c r="W51" s="21">
        <f>U51</f>
        <v>93.332053185820385</v>
      </c>
      <c r="Y51" s="21">
        <f>W51</f>
        <v>93.332053185820385</v>
      </c>
      <c r="Z51" s="21" t="str">
        <f t="shared" si="11"/>
        <v/>
      </c>
      <c r="AA51" s="21">
        <f t="shared" si="10"/>
        <v>93.332053185820385</v>
      </c>
      <c r="AB51" s="21" t="str">
        <f t="shared" si="9"/>
        <v/>
      </c>
      <c r="AC51" s="21">
        <f t="shared" si="8"/>
        <v>93.332053185820385</v>
      </c>
      <c r="AD51" s="21" t="str">
        <f t="shared" si="7"/>
        <v/>
      </c>
      <c r="AE51" s="21">
        <f t="shared" si="6"/>
        <v>93.332053185820385</v>
      </c>
      <c r="AF51" s="21" t="str">
        <f t="shared" si="5"/>
        <v/>
      </c>
      <c r="AG51" s="21">
        <f t="shared" si="4"/>
        <v>93.332053185820385</v>
      </c>
      <c r="AH51" s="21" t="str">
        <f t="shared" si="3"/>
        <v/>
      </c>
      <c r="AI51" s="21">
        <f t="shared" si="2"/>
        <v>93.332053185820385</v>
      </c>
      <c r="AJ51" s="50" t="str">
        <f t="shared" si="1"/>
        <v/>
      </c>
    </row>
    <row r="52" spans="6:36" x14ac:dyDescent="0.25">
      <c r="F52" s="22"/>
      <c r="G52" s="38"/>
      <c r="H52" s="38"/>
      <c r="I52" s="38"/>
      <c r="J52" s="38">
        <f>I51*$H$5</f>
        <v>88.357522794833301</v>
      </c>
      <c r="L52" s="38">
        <f>J52</f>
        <v>88.357522794833301</v>
      </c>
      <c r="M52" s="55"/>
      <c r="N52" s="21">
        <f>L52</f>
        <v>88.357522794833301</v>
      </c>
      <c r="P52" s="21">
        <f>N52</f>
        <v>88.357522794833301</v>
      </c>
      <c r="R52" s="21">
        <f>P52</f>
        <v>88.357522794833301</v>
      </c>
      <c r="T52" s="21">
        <f>R52</f>
        <v>88.357522794833301</v>
      </c>
      <c r="V52" s="21">
        <f>T52</f>
        <v>88.357522794833301</v>
      </c>
      <c r="X52" s="21">
        <f>V52</f>
        <v>88.357522794833301</v>
      </c>
      <c r="Z52" s="21">
        <f t="shared" si="11"/>
        <v>88.357522794833301</v>
      </c>
      <c r="AA52" s="21" t="str">
        <f t="shared" si="10"/>
        <v/>
      </c>
      <c r="AB52" s="21">
        <f t="shared" si="9"/>
        <v>88.357522794833301</v>
      </c>
      <c r="AC52" s="21" t="str">
        <f t="shared" si="8"/>
        <v/>
      </c>
      <c r="AD52" s="21">
        <f t="shared" si="7"/>
        <v>88.357522794833301</v>
      </c>
      <c r="AE52" s="21" t="str">
        <f t="shared" si="6"/>
        <v/>
      </c>
      <c r="AF52" s="21">
        <f t="shared" si="5"/>
        <v>88.357522794833301</v>
      </c>
      <c r="AG52" s="21" t="str">
        <f t="shared" si="4"/>
        <v/>
      </c>
      <c r="AH52" s="21">
        <f t="shared" si="3"/>
        <v>88.357522794833301</v>
      </c>
      <c r="AI52" s="21" t="str">
        <f t="shared" si="2"/>
        <v/>
      </c>
      <c r="AJ52" s="50">
        <f t="shared" si="1"/>
        <v>88.357522794833301</v>
      </c>
    </row>
    <row r="53" spans="6:36" x14ac:dyDescent="0.25">
      <c r="F53" s="22"/>
      <c r="G53" s="38"/>
      <c r="H53" s="38"/>
      <c r="I53" s="38"/>
      <c r="K53" s="38">
        <f>J52*$H$5</f>
        <v>83.648131246999981</v>
      </c>
      <c r="M53" s="55">
        <f>K53</f>
        <v>83.648131246999981</v>
      </c>
      <c r="O53" s="21">
        <f>M53</f>
        <v>83.648131246999981</v>
      </c>
      <c r="Q53" s="21">
        <f>O53</f>
        <v>83.648131246999981</v>
      </c>
      <c r="S53" s="21">
        <f>Q53</f>
        <v>83.648131246999981</v>
      </c>
      <c r="U53" s="21">
        <f>S53</f>
        <v>83.648131246999981</v>
      </c>
      <c r="W53" s="21">
        <f>U53</f>
        <v>83.648131246999981</v>
      </c>
      <c r="Y53" s="21">
        <f>W53</f>
        <v>83.648131246999981</v>
      </c>
      <c r="Z53" s="21" t="str">
        <f t="shared" si="11"/>
        <v/>
      </c>
      <c r="AA53" s="21">
        <f t="shared" si="10"/>
        <v>83.648131246999981</v>
      </c>
      <c r="AB53" s="21" t="str">
        <f t="shared" si="9"/>
        <v/>
      </c>
      <c r="AC53" s="21">
        <f t="shared" si="8"/>
        <v>83.648131246999981</v>
      </c>
      <c r="AD53" s="21" t="str">
        <f t="shared" si="7"/>
        <v/>
      </c>
      <c r="AE53" s="21">
        <f t="shared" si="6"/>
        <v>83.648131246999981</v>
      </c>
      <c r="AF53" s="21" t="str">
        <f t="shared" si="5"/>
        <v/>
      </c>
      <c r="AG53" s="21">
        <f t="shared" si="4"/>
        <v>83.648131246999981</v>
      </c>
      <c r="AH53" s="21" t="str">
        <f t="shared" si="3"/>
        <v/>
      </c>
      <c r="AI53" s="21">
        <f t="shared" si="2"/>
        <v>83.648131246999981</v>
      </c>
      <c r="AJ53" s="50" t="str">
        <f t="shared" si="1"/>
        <v/>
      </c>
    </row>
    <row r="54" spans="6:36" x14ac:dyDescent="0.25">
      <c r="F54" s="22"/>
      <c r="G54" s="38"/>
      <c r="H54" s="38"/>
      <c r="I54" s="38"/>
      <c r="L54" s="38">
        <f>K53*$H$5</f>
        <v>79.189746835280047</v>
      </c>
      <c r="M54" s="55"/>
      <c r="N54" s="21">
        <f>L54</f>
        <v>79.189746835280047</v>
      </c>
      <c r="P54" s="21">
        <f>N54</f>
        <v>79.189746835280047</v>
      </c>
      <c r="R54" s="21">
        <f>P54</f>
        <v>79.189746835280047</v>
      </c>
      <c r="T54" s="21">
        <f>R54</f>
        <v>79.189746835280047</v>
      </c>
      <c r="V54" s="21">
        <f>T54</f>
        <v>79.189746835280047</v>
      </c>
      <c r="X54" s="21">
        <f>V54</f>
        <v>79.189746835280047</v>
      </c>
      <c r="Z54" s="21">
        <f t="shared" si="11"/>
        <v>79.189746835280047</v>
      </c>
      <c r="AA54" s="21" t="str">
        <f t="shared" si="10"/>
        <v/>
      </c>
      <c r="AB54" s="21">
        <f t="shared" si="9"/>
        <v>79.189746835280047</v>
      </c>
      <c r="AC54" s="21" t="str">
        <f t="shared" si="8"/>
        <v/>
      </c>
      <c r="AD54" s="21">
        <f t="shared" si="7"/>
        <v>79.189746835280047</v>
      </c>
      <c r="AE54" s="21" t="str">
        <f t="shared" si="6"/>
        <v/>
      </c>
      <c r="AF54" s="21">
        <f t="shared" si="5"/>
        <v>79.189746835280047</v>
      </c>
      <c r="AG54" s="21" t="str">
        <f t="shared" si="4"/>
        <v/>
      </c>
      <c r="AH54" s="21">
        <f t="shared" si="3"/>
        <v>79.189746835280047</v>
      </c>
      <c r="AI54" s="21" t="str">
        <f t="shared" si="2"/>
        <v/>
      </c>
      <c r="AJ54" s="50">
        <f t="shared" si="1"/>
        <v>79.189746835280047</v>
      </c>
    </row>
    <row r="55" spans="6:36" x14ac:dyDescent="0.25">
      <c r="F55" s="49"/>
      <c r="M55" s="38">
        <f>L54*$H$5</f>
        <v>74.968991062315624</v>
      </c>
      <c r="O55" s="21">
        <f>M55</f>
        <v>74.968991062315624</v>
      </c>
      <c r="Q55" s="21">
        <f>O55</f>
        <v>74.968991062315624</v>
      </c>
      <c r="S55" s="21">
        <f>Q55</f>
        <v>74.968991062315624</v>
      </c>
      <c r="U55" s="21">
        <f>S55</f>
        <v>74.968991062315624</v>
      </c>
      <c r="W55" s="21">
        <f>U55</f>
        <v>74.968991062315624</v>
      </c>
      <c r="Y55" s="21">
        <f>W55</f>
        <v>74.968991062315624</v>
      </c>
      <c r="Z55" s="21" t="str">
        <f t="shared" si="11"/>
        <v/>
      </c>
      <c r="AA55" s="21">
        <f t="shared" si="10"/>
        <v>74.968991062315624</v>
      </c>
      <c r="AB55" s="21" t="str">
        <f t="shared" si="9"/>
        <v/>
      </c>
      <c r="AC55" s="21">
        <f t="shared" si="8"/>
        <v>74.968991062315624</v>
      </c>
      <c r="AD55" s="21" t="str">
        <f t="shared" si="7"/>
        <v/>
      </c>
      <c r="AE55" s="21">
        <f t="shared" si="6"/>
        <v>74.968991062315624</v>
      </c>
      <c r="AF55" s="21" t="str">
        <f t="shared" si="5"/>
        <v/>
      </c>
      <c r="AG55" s="21">
        <f t="shared" si="4"/>
        <v>74.968991062315624</v>
      </c>
      <c r="AH55" s="21" t="str">
        <f t="shared" si="3"/>
        <v/>
      </c>
      <c r="AI55" s="21">
        <f t="shared" si="2"/>
        <v>74.968991062315624</v>
      </c>
      <c r="AJ55" s="50" t="str">
        <f t="shared" si="1"/>
        <v/>
      </c>
    </row>
    <row r="56" spans="6:36" x14ac:dyDescent="0.25">
      <c r="F56" s="49"/>
      <c r="N56" s="38">
        <f>M55*$H$5</f>
        <v>70.973198494904423</v>
      </c>
      <c r="P56" s="21">
        <f>N56</f>
        <v>70.973198494904423</v>
      </c>
      <c r="R56" s="21">
        <f>P56</f>
        <v>70.973198494904423</v>
      </c>
      <c r="T56" s="21">
        <f>R56</f>
        <v>70.973198494904423</v>
      </c>
      <c r="V56" s="21">
        <f>T56</f>
        <v>70.973198494904423</v>
      </c>
      <c r="X56" s="21">
        <f>V56</f>
        <v>70.973198494904423</v>
      </c>
      <c r="Z56" s="21">
        <f t="shared" si="11"/>
        <v>70.973198494904423</v>
      </c>
      <c r="AA56" s="21" t="str">
        <f t="shared" si="10"/>
        <v/>
      </c>
      <c r="AB56" s="21">
        <f t="shared" si="9"/>
        <v>70.973198494904423</v>
      </c>
      <c r="AC56" s="21" t="str">
        <f t="shared" si="8"/>
        <v/>
      </c>
      <c r="AD56" s="21">
        <f t="shared" si="7"/>
        <v>70.973198494904423</v>
      </c>
      <c r="AE56" s="21" t="str">
        <f t="shared" si="6"/>
        <v/>
      </c>
      <c r="AF56" s="21">
        <f t="shared" si="5"/>
        <v>70.973198494904423</v>
      </c>
      <c r="AG56" s="21" t="str">
        <f t="shared" si="4"/>
        <v/>
      </c>
      <c r="AH56" s="21">
        <f t="shared" si="3"/>
        <v>70.973198494904423</v>
      </c>
      <c r="AI56" s="21" t="str">
        <f t="shared" si="2"/>
        <v/>
      </c>
      <c r="AJ56" s="50">
        <f t="shared" si="1"/>
        <v>70.973198494904423</v>
      </c>
    </row>
    <row r="57" spans="6:36" x14ac:dyDescent="0.25">
      <c r="F57" s="49"/>
      <c r="O57" s="38">
        <f>N56*$H$5</f>
        <v>67.190378758200083</v>
      </c>
      <c r="Q57" s="21">
        <f>O57</f>
        <v>67.190378758200083</v>
      </c>
      <c r="S57" s="21">
        <f>Q57</f>
        <v>67.190378758200083</v>
      </c>
      <c r="U57" s="21">
        <f>S57</f>
        <v>67.190378758200083</v>
      </c>
      <c r="W57" s="21">
        <f>U57</f>
        <v>67.190378758200083</v>
      </c>
      <c r="Y57" s="21">
        <f>W57</f>
        <v>67.190378758200083</v>
      </c>
      <c r="Z57" s="21" t="str">
        <f t="shared" si="11"/>
        <v/>
      </c>
      <c r="AA57" s="21">
        <f t="shared" si="10"/>
        <v>67.190378758200083</v>
      </c>
      <c r="AB57" s="21" t="str">
        <f t="shared" si="9"/>
        <v/>
      </c>
      <c r="AC57" s="21">
        <f t="shared" si="8"/>
        <v>67.190378758200083</v>
      </c>
      <c r="AD57" s="21" t="str">
        <f t="shared" si="7"/>
        <v/>
      </c>
      <c r="AE57" s="21">
        <f t="shared" si="6"/>
        <v>67.190378758200083</v>
      </c>
      <c r="AF57" s="21" t="str">
        <f t="shared" si="5"/>
        <v/>
      </c>
      <c r="AG57" s="21">
        <f t="shared" si="4"/>
        <v>67.190378758200083</v>
      </c>
      <c r="AH57" s="21" t="str">
        <f t="shared" si="3"/>
        <v/>
      </c>
      <c r="AI57" s="21">
        <f t="shared" si="2"/>
        <v>67.190378758200083</v>
      </c>
      <c r="AJ57" s="50" t="str">
        <f t="shared" si="1"/>
        <v/>
      </c>
    </row>
    <row r="58" spans="6:36" x14ac:dyDescent="0.25">
      <c r="F58" s="49"/>
      <c r="P58" s="38">
        <f>O57*$H$5</f>
        <v>63.609180555593959</v>
      </c>
      <c r="R58" s="21">
        <f>P58</f>
        <v>63.609180555593959</v>
      </c>
      <c r="T58" s="21">
        <f>R58</f>
        <v>63.609180555593959</v>
      </c>
      <c r="V58" s="21">
        <f>T58</f>
        <v>63.609180555593959</v>
      </c>
      <c r="X58" s="21">
        <f>V58</f>
        <v>63.609180555593959</v>
      </c>
      <c r="Z58" s="21">
        <f t="shared" si="11"/>
        <v>63.609180555593959</v>
      </c>
      <c r="AA58" s="21" t="str">
        <f t="shared" si="10"/>
        <v/>
      </c>
      <c r="AB58" s="21">
        <f t="shared" si="9"/>
        <v>63.609180555593959</v>
      </c>
      <c r="AC58" s="21" t="str">
        <f t="shared" si="8"/>
        <v/>
      </c>
      <c r="AD58" s="21">
        <f t="shared" si="7"/>
        <v>63.609180555593959</v>
      </c>
      <c r="AE58" s="21" t="str">
        <f t="shared" si="6"/>
        <v/>
      </c>
      <c r="AF58" s="21">
        <f t="shared" si="5"/>
        <v>63.609180555593959</v>
      </c>
      <c r="AG58" s="21" t="str">
        <f t="shared" si="4"/>
        <v/>
      </c>
      <c r="AH58" s="21">
        <f t="shared" si="3"/>
        <v>63.609180555593959</v>
      </c>
      <c r="AI58" s="21" t="str">
        <f t="shared" si="2"/>
        <v/>
      </c>
      <c r="AJ58" s="50">
        <f t="shared" si="1"/>
        <v>63.609180555593959</v>
      </c>
    </row>
    <row r="59" spans="6:36" x14ac:dyDescent="0.25">
      <c r="F59" s="49"/>
      <c r="Q59" s="38">
        <f>P58*$H$5</f>
        <v>60.218857606310976</v>
      </c>
      <c r="S59" s="21">
        <f>Q59</f>
        <v>60.218857606310976</v>
      </c>
      <c r="U59" s="21">
        <f>S59</f>
        <v>60.218857606310976</v>
      </c>
      <c r="W59" s="21">
        <f>U59</f>
        <v>60.218857606310976</v>
      </c>
      <c r="Y59" s="21">
        <f>W59</f>
        <v>60.218857606310976</v>
      </c>
      <c r="Z59" s="21" t="str">
        <f t="shared" si="11"/>
        <v/>
      </c>
      <c r="AA59" s="21">
        <f t="shared" si="10"/>
        <v>60.218857606310976</v>
      </c>
      <c r="AB59" s="21" t="str">
        <f t="shared" si="9"/>
        <v/>
      </c>
      <c r="AC59" s="21">
        <f t="shared" si="8"/>
        <v>60.218857606310976</v>
      </c>
      <c r="AD59" s="21" t="str">
        <f t="shared" si="7"/>
        <v/>
      </c>
      <c r="AE59" s="21">
        <f t="shared" si="6"/>
        <v>60.218857606310976</v>
      </c>
      <c r="AF59" s="21" t="str">
        <f t="shared" si="5"/>
        <v/>
      </c>
      <c r="AG59" s="21">
        <f t="shared" si="4"/>
        <v>60.218857606310976</v>
      </c>
      <c r="AH59" s="21" t="str">
        <f t="shared" si="3"/>
        <v/>
      </c>
      <c r="AI59" s="21">
        <f t="shared" si="2"/>
        <v>60.218857606310976</v>
      </c>
      <c r="AJ59" s="50" t="str">
        <f t="shared" si="1"/>
        <v/>
      </c>
    </row>
    <row r="60" spans="6:36" x14ac:dyDescent="0.25">
      <c r="F60" s="49"/>
      <c r="R60" s="38">
        <f>Q59*$H$5</f>
        <v>57.009236398506786</v>
      </c>
      <c r="T60" s="21">
        <f>R60</f>
        <v>57.009236398506786</v>
      </c>
      <c r="V60" s="21">
        <f>T60</f>
        <v>57.009236398506786</v>
      </c>
      <c r="X60" s="21">
        <f>V60</f>
        <v>57.009236398506786</v>
      </c>
      <c r="Z60" s="21">
        <f t="shared" si="11"/>
        <v>57.009236398506786</v>
      </c>
      <c r="AA60" s="21" t="str">
        <f t="shared" si="10"/>
        <v/>
      </c>
      <c r="AB60" s="21">
        <f t="shared" si="9"/>
        <v>57.009236398506786</v>
      </c>
      <c r="AC60" s="21" t="str">
        <f t="shared" si="8"/>
        <v/>
      </c>
      <c r="AD60" s="21">
        <f t="shared" si="7"/>
        <v>57.009236398506786</v>
      </c>
      <c r="AE60" s="21" t="str">
        <f t="shared" si="6"/>
        <v/>
      </c>
      <c r="AF60" s="21">
        <f t="shared" si="5"/>
        <v>57.009236398506786</v>
      </c>
      <c r="AG60" s="21" t="str">
        <f t="shared" si="4"/>
        <v/>
      </c>
      <c r="AH60" s="21">
        <f t="shared" si="3"/>
        <v>57.009236398506786</v>
      </c>
      <c r="AI60" s="21" t="str">
        <f t="shared" si="2"/>
        <v/>
      </c>
      <c r="AJ60" s="50">
        <f t="shared" si="1"/>
        <v>57.009236398506786</v>
      </c>
    </row>
    <row r="61" spans="6:36" x14ac:dyDescent="0.25">
      <c r="F61" s="49"/>
      <c r="S61" s="38">
        <f>R60*$H$5</f>
        <v>53.970685661101335</v>
      </c>
      <c r="U61" s="21">
        <f>S61</f>
        <v>53.970685661101335</v>
      </c>
      <c r="W61" s="21">
        <f>U61</f>
        <v>53.970685661101335</v>
      </c>
      <c r="Y61" s="21">
        <f>W61</f>
        <v>53.970685661101335</v>
      </c>
      <c r="Z61" s="21" t="str">
        <f t="shared" si="11"/>
        <v/>
      </c>
      <c r="AA61" s="21">
        <f t="shared" si="10"/>
        <v>53.970685661101335</v>
      </c>
      <c r="AB61" s="21" t="str">
        <f t="shared" si="9"/>
        <v/>
      </c>
      <c r="AC61" s="21">
        <f t="shared" si="8"/>
        <v>53.970685661101335</v>
      </c>
      <c r="AD61" s="21" t="str">
        <f t="shared" si="7"/>
        <v/>
      </c>
      <c r="AE61" s="21">
        <f t="shared" si="6"/>
        <v>53.970685661101335</v>
      </c>
      <c r="AF61" s="21" t="str">
        <f t="shared" si="5"/>
        <v/>
      </c>
      <c r="AG61" s="21">
        <f t="shared" si="4"/>
        <v>53.970685661101335</v>
      </c>
      <c r="AH61" s="21" t="str">
        <f t="shared" si="3"/>
        <v/>
      </c>
      <c r="AI61" s="21">
        <f t="shared" si="2"/>
        <v>53.970685661101335</v>
      </c>
      <c r="AJ61" s="50" t="str">
        <f t="shared" si="1"/>
        <v/>
      </c>
    </row>
    <row r="62" spans="6:36" x14ac:dyDescent="0.25">
      <c r="F62" s="49"/>
      <c r="T62" s="38">
        <f>S61*$H$5</f>
        <v>51.094087462741456</v>
      </c>
      <c r="V62" s="21">
        <f>T62</f>
        <v>51.094087462741456</v>
      </c>
      <c r="X62" s="21">
        <f>V62</f>
        <v>51.094087462741456</v>
      </c>
      <c r="Z62" s="21">
        <f t="shared" si="11"/>
        <v>51.094087462741456</v>
      </c>
      <c r="AA62" s="21" t="str">
        <f t="shared" si="10"/>
        <v/>
      </c>
      <c r="AB62" s="21">
        <f t="shared" si="9"/>
        <v>51.094087462741456</v>
      </c>
      <c r="AC62" s="21" t="str">
        <f t="shared" si="8"/>
        <v/>
      </c>
      <c r="AD62" s="21">
        <f t="shared" si="7"/>
        <v>51.094087462741456</v>
      </c>
      <c r="AE62" s="21" t="str">
        <f t="shared" si="6"/>
        <v/>
      </c>
      <c r="AF62" s="21">
        <f t="shared" si="5"/>
        <v>51.094087462741456</v>
      </c>
      <c r="AG62" s="21" t="str">
        <f t="shared" si="4"/>
        <v/>
      </c>
      <c r="AH62" s="21">
        <f t="shared" si="3"/>
        <v>51.094087462741456</v>
      </c>
      <c r="AI62" s="21" t="str">
        <f t="shared" si="2"/>
        <v/>
      </c>
      <c r="AJ62" s="50">
        <f t="shared" si="1"/>
        <v>51.094087462741456</v>
      </c>
    </row>
    <row r="63" spans="6:36" x14ac:dyDescent="0.25">
      <c r="F63" s="49"/>
      <c r="U63" s="38">
        <f>T62*$H$5</f>
        <v>48.370809851167657</v>
      </c>
      <c r="W63" s="21">
        <f>U63</f>
        <v>48.370809851167657</v>
      </c>
      <c r="Y63" s="21">
        <f>W63</f>
        <v>48.370809851167657</v>
      </c>
      <c r="Z63" s="21" t="str">
        <f t="shared" si="11"/>
        <v/>
      </c>
      <c r="AA63" s="21">
        <f t="shared" si="10"/>
        <v>48.370809851167657</v>
      </c>
      <c r="AB63" s="21" t="str">
        <f t="shared" si="9"/>
        <v/>
      </c>
      <c r="AC63" s="21">
        <f t="shared" si="8"/>
        <v>48.370809851167657</v>
      </c>
      <c r="AD63" s="21" t="str">
        <f t="shared" si="7"/>
        <v/>
      </c>
      <c r="AE63" s="21">
        <f t="shared" si="6"/>
        <v>48.370809851167657</v>
      </c>
      <c r="AF63" s="21" t="str">
        <f t="shared" si="5"/>
        <v/>
      </c>
      <c r="AG63" s="21">
        <f t="shared" si="4"/>
        <v>48.370809851167657</v>
      </c>
      <c r="AH63" s="21" t="str">
        <f t="shared" si="3"/>
        <v/>
      </c>
      <c r="AI63" s="21">
        <f t="shared" si="2"/>
        <v>48.370809851167657</v>
      </c>
      <c r="AJ63" s="50" t="str">
        <f t="shared" si="1"/>
        <v/>
      </c>
    </row>
    <row r="64" spans="6:36" x14ac:dyDescent="0.25">
      <c r="F64" s="49"/>
      <c r="V64" s="38">
        <f>U63*$H$5</f>
        <v>45.792680950882755</v>
      </c>
      <c r="X64" s="21">
        <f>V64</f>
        <v>45.792680950882755</v>
      </c>
      <c r="Z64" s="21">
        <f t="shared" si="11"/>
        <v>45.792680950882755</v>
      </c>
      <c r="AA64" s="21" t="str">
        <f t="shared" si="10"/>
        <v/>
      </c>
      <c r="AB64" s="21">
        <f t="shared" si="9"/>
        <v>45.792680950882755</v>
      </c>
      <c r="AC64" s="21" t="str">
        <f t="shared" si="8"/>
        <v/>
      </c>
      <c r="AD64" s="21">
        <f t="shared" si="7"/>
        <v>45.792680950882755</v>
      </c>
      <c r="AE64" s="21" t="str">
        <f t="shared" si="6"/>
        <v/>
      </c>
      <c r="AF64" s="21">
        <f t="shared" si="5"/>
        <v>45.792680950882755</v>
      </c>
      <c r="AG64" s="21" t="str">
        <f t="shared" si="4"/>
        <v/>
      </c>
      <c r="AH64" s="21">
        <f t="shared" si="3"/>
        <v>45.792680950882755</v>
      </c>
      <c r="AI64" s="21" t="str">
        <f t="shared" si="2"/>
        <v/>
      </c>
      <c r="AJ64" s="50">
        <f t="shared" si="1"/>
        <v>45.792680950882755</v>
      </c>
    </row>
    <row r="65" spans="6:36" x14ac:dyDescent="0.25">
      <c r="F65" s="49"/>
      <c r="W65" s="38">
        <f>V64*$H$5</f>
        <v>43.35196444139585</v>
      </c>
      <c r="Y65" s="21">
        <f>W65</f>
        <v>43.35196444139585</v>
      </c>
      <c r="Z65" s="21" t="str">
        <f t="shared" si="11"/>
        <v/>
      </c>
      <c r="AA65" s="21">
        <f t="shared" si="10"/>
        <v>43.35196444139585</v>
      </c>
      <c r="AB65" s="21" t="str">
        <f t="shared" si="9"/>
        <v/>
      </c>
      <c r="AC65" s="21">
        <f t="shared" si="8"/>
        <v>43.35196444139585</v>
      </c>
      <c r="AD65" s="21" t="str">
        <f t="shared" si="7"/>
        <v/>
      </c>
      <c r="AE65" s="21">
        <f t="shared" si="6"/>
        <v>43.35196444139585</v>
      </c>
      <c r="AF65" s="21" t="str">
        <f t="shared" si="5"/>
        <v/>
      </c>
      <c r="AG65" s="21">
        <f t="shared" si="4"/>
        <v>43.35196444139585</v>
      </c>
      <c r="AH65" s="21" t="str">
        <f t="shared" si="3"/>
        <v/>
      </c>
      <c r="AI65" s="21">
        <f t="shared" si="2"/>
        <v>43.35196444139585</v>
      </c>
      <c r="AJ65" s="50" t="str">
        <f t="shared" si="1"/>
        <v/>
      </c>
    </row>
    <row r="66" spans="6:36" x14ac:dyDescent="0.25">
      <c r="F66" s="49"/>
      <c r="X66" s="38">
        <f>W65*$H$5</f>
        <v>41.041336342458038</v>
      </c>
      <c r="Z66" s="21">
        <f t="shared" si="11"/>
        <v>41.041336342458038</v>
      </c>
      <c r="AA66" s="21" t="str">
        <f t="shared" si="10"/>
        <v/>
      </c>
      <c r="AB66" s="21">
        <f t="shared" si="9"/>
        <v>41.041336342458038</v>
      </c>
      <c r="AC66" s="21" t="str">
        <f t="shared" si="8"/>
        <v/>
      </c>
      <c r="AD66" s="21">
        <f t="shared" si="7"/>
        <v>41.041336342458038</v>
      </c>
      <c r="AE66" s="21" t="str">
        <f t="shared" si="6"/>
        <v/>
      </c>
      <c r="AF66" s="21">
        <f t="shared" si="5"/>
        <v>41.041336342458038</v>
      </c>
      <c r="AG66" s="21" t="str">
        <f t="shared" si="4"/>
        <v/>
      </c>
      <c r="AH66" s="21">
        <f t="shared" si="3"/>
        <v>41.041336342458038</v>
      </c>
      <c r="AI66" s="21" t="str">
        <f t="shared" si="2"/>
        <v/>
      </c>
      <c r="AJ66" s="50">
        <f t="shared" si="1"/>
        <v>41.041336342458038</v>
      </c>
    </row>
    <row r="67" spans="6:36" x14ac:dyDescent="0.25">
      <c r="F67" s="49"/>
      <c r="Y67" s="38">
        <f>X66*$H$5</f>
        <v>38.85386303662812</v>
      </c>
      <c r="AA67" s="21">
        <f t="shared" si="11"/>
        <v>38.85386303662812</v>
      </c>
      <c r="AB67" s="21" t="str">
        <f t="shared" si="9"/>
        <v/>
      </c>
      <c r="AC67" s="21">
        <f t="shared" si="8"/>
        <v>38.85386303662812</v>
      </c>
      <c r="AD67" s="21" t="str">
        <f t="shared" si="7"/>
        <v/>
      </c>
      <c r="AE67" s="21">
        <f t="shared" si="6"/>
        <v>38.85386303662812</v>
      </c>
      <c r="AF67" s="21" t="str">
        <f t="shared" si="5"/>
        <v/>
      </c>
      <c r="AG67" s="21">
        <f t="shared" si="4"/>
        <v>38.85386303662812</v>
      </c>
      <c r="AH67" s="21" t="str">
        <f t="shared" si="3"/>
        <v/>
      </c>
      <c r="AI67" s="21">
        <f t="shared" si="2"/>
        <v>38.85386303662812</v>
      </c>
      <c r="AJ67" s="50" t="str">
        <f t="shared" si="1"/>
        <v/>
      </c>
    </row>
    <row r="68" spans="6:36" x14ac:dyDescent="0.25">
      <c r="F68" s="49"/>
      <c r="Z68" s="38">
        <f>Y67*$H$5</f>
        <v>36.782980463219559</v>
      </c>
      <c r="AB68" s="21">
        <f t="shared" si="9"/>
        <v>36.782980463219559</v>
      </c>
      <c r="AC68" s="21" t="str">
        <f t="shared" si="8"/>
        <v/>
      </c>
      <c r="AD68" s="21">
        <f t="shared" si="7"/>
        <v>36.782980463219559</v>
      </c>
      <c r="AE68" s="21" t="str">
        <f t="shared" si="6"/>
        <v/>
      </c>
      <c r="AF68" s="21">
        <f t="shared" si="5"/>
        <v>36.782980463219559</v>
      </c>
      <c r="AG68" s="21" t="str">
        <f t="shared" si="4"/>
        <v/>
      </c>
      <c r="AH68" s="21">
        <f t="shared" si="3"/>
        <v>36.782980463219559</v>
      </c>
      <c r="AI68" s="21" t="str">
        <f t="shared" si="2"/>
        <v/>
      </c>
      <c r="AJ68" s="50">
        <f t="shared" si="1"/>
        <v>36.782980463219559</v>
      </c>
    </row>
    <row r="69" spans="6:36" x14ac:dyDescent="0.25">
      <c r="F69" s="49"/>
      <c r="AA69" s="38">
        <f>Z68*$H$5</f>
        <v>34.822474421194876</v>
      </c>
      <c r="AC69" s="21">
        <f t="shared" si="8"/>
        <v>34.822474421194876</v>
      </c>
      <c r="AD69" s="21" t="str">
        <f t="shared" si="7"/>
        <v/>
      </c>
      <c r="AE69" s="21">
        <f t="shared" si="6"/>
        <v>34.822474421194876</v>
      </c>
      <c r="AF69" s="21" t="str">
        <f t="shared" si="5"/>
        <v/>
      </c>
      <c r="AG69" s="21">
        <f t="shared" si="4"/>
        <v>34.822474421194876</v>
      </c>
      <c r="AH69" s="21" t="str">
        <f t="shared" si="3"/>
        <v/>
      </c>
      <c r="AI69" s="21">
        <f t="shared" si="2"/>
        <v>34.822474421194876</v>
      </c>
      <c r="AJ69" s="50" t="str">
        <f t="shared" si="1"/>
        <v/>
      </c>
    </row>
    <row r="70" spans="6:36" x14ac:dyDescent="0.25">
      <c r="F70" s="49"/>
      <c r="AB70" s="38">
        <f>AA69*$H$5</f>
        <v>32.96646192190142</v>
      </c>
      <c r="AD70" s="21">
        <f t="shared" si="7"/>
        <v>32.96646192190142</v>
      </c>
      <c r="AE70" s="21" t="str">
        <f t="shared" si="6"/>
        <v/>
      </c>
      <c r="AF70" s="21">
        <f t="shared" si="5"/>
        <v>32.96646192190142</v>
      </c>
      <c r="AG70" s="21" t="str">
        <f t="shared" si="4"/>
        <v/>
      </c>
      <c r="AH70" s="21">
        <f t="shared" si="3"/>
        <v>32.96646192190142</v>
      </c>
      <c r="AI70" s="21" t="str">
        <f t="shared" si="2"/>
        <v/>
      </c>
      <c r="AJ70" s="50">
        <f t="shared" si="1"/>
        <v>32.96646192190142</v>
      </c>
    </row>
    <row r="71" spans="6:36" x14ac:dyDescent="0.25">
      <c r="F71" s="49"/>
      <c r="AC71" s="38">
        <f>AB70*$H$5</f>
        <v>31.209373535692727</v>
      </c>
      <c r="AE71" s="21">
        <f t="shared" si="6"/>
        <v>31.209373535692727</v>
      </c>
      <c r="AF71" s="21" t="str">
        <f t="shared" si="5"/>
        <v/>
      </c>
      <c r="AG71" s="21">
        <f t="shared" si="4"/>
        <v>31.209373535692727</v>
      </c>
      <c r="AH71" s="21" t="str">
        <f t="shared" si="3"/>
        <v/>
      </c>
      <c r="AI71" s="21">
        <f t="shared" si="2"/>
        <v>31.209373535692727</v>
      </c>
      <c r="AJ71" s="50" t="str">
        <f t="shared" si="1"/>
        <v/>
      </c>
    </row>
    <row r="72" spans="6:36" x14ac:dyDescent="0.25">
      <c r="F72" s="49"/>
      <c r="AD72" s="38">
        <f>AC71*$H$5</f>
        <v>29.545936679462091</v>
      </c>
      <c r="AF72" s="21">
        <f t="shared" si="5"/>
        <v>29.545936679462091</v>
      </c>
      <c r="AG72" s="21" t="str">
        <f t="shared" si="4"/>
        <v/>
      </c>
      <c r="AH72" s="21">
        <f t="shared" si="3"/>
        <v>29.545936679462091</v>
      </c>
      <c r="AI72" s="21" t="str">
        <f t="shared" si="2"/>
        <v/>
      </c>
      <c r="AJ72" s="50">
        <f t="shared" si="1"/>
        <v>29.545936679462091</v>
      </c>
    </row>
    <row r="73" spans="6:36" x14ac:dyDescent="0.25">
      <c r="F73" s="49"/>
      <c r="AE73" s="38">
        <f>AD72*$H$5</f>
        <v>27.971159794938416</v>
      </c>
      <c r="AG73" s="21">
        <f t="shared" si="4"/>
        <v>27.971159794938416</v>
      </c>
      <c r="AH73" s="21" t="str">
        <f t="shared" si="3"/>
        <v/>
      </c>
      <c r="AI73" s="21">
        <f t="shared" si="2"/>
        <v>27.971159794938416</v>
      </c>
      <c r="AJ73" s="50" t="str">
        <f t="shared" si="1"/>
        <v/>
      </c>
    </row>
    <row r="74" spans="6:36" x14ac:dyDescent="0.25">
      <c r="F74" s="49"/>
      <c r="AF74" s="38">
        <f>AE73*$H$5</f>
        <v>26.48031737026735</v>
      </c>
      <c r="AH74" s="21">
        <f t="shared" si="3"/>
        <v>26.48031737026735</v>
      </c>
      <c r="AI74" s="21" t="str">
        <f t="shared" si="2"/>
        <v/>
      </c>
      <c r="AJ74" s="50">
        <f t="shared" si="1"/>
        <v>26.48031737026735</v>
      </c>
    </row>
    <row r="75" spans="6:36" x14ac:dyDescent="0.25">
      <c r="F75" s="49"/>
      <c r="AG75" s="38">
        <f>AF74*$H$5</f>
        <v>25.068935759931247</v>
      </c>
      <c r="AI75" s="21">
        <f t="shared" si="2"/>
        <v>25.068935759931247</v>
      </c>
      <c r="AJ75" s="50" t="str">
        <f t="shared" si="1"/>
        <v/>
      </c>
    </row>
    <row r="76" spans="6:36" x14ac:dyDescent="0.25">
      <c r="F76" s="49"/>
      <c r="AH76" s="38">
        <f>AG75*$H$5</f>
        <v>23.732779760457028</v>
      </c>
      <c r="AJ76" s="50">
        <f t="shared" si="1"/>
        <v>23.732779760457028</v>
      </c>
    </row>
    <row r="77" spans="6:36" x14ac:dyDescent="0.25">
      <c r="F77" s="49"/>
      <c r="AI77" s="38">
        <f>AH76*$H$5</f>
        <v>22.467839901629052</v>
      </c>
      <c r="AJ77" s="50"/>
    </row>
    <row r="78" spans="6:36" x14ac:dyDescent="0.25">
      <c r="F78" s="53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23">
        <f>AI77*$H$5</f>
        <v>21.270320415071069</v>
      </c>
    </row>
    <row r="79" spans="6:36" x14ac:dyDescent="0.25">
      <c r="F79" s="42">
        <v>0</v>
      </c>
      <c r="G79" s="42">
        <f>F79+$H$3</f>
        <v>3.3333333333333333E-2</v>
      </c>
      <c r="H79" s="42">
        <f>G79+$H$3</f>
        <v>6.6666666666666666E-2</v>
      </c>
      <c r="I79" s="42">
        <f t="shared" ref="I79:AJ79" si="12">H79+$H$3</f>
        <v>0.1</v>
      </c>
      <c r="J79" s="42">
        <f t="shared" si="12"/>
        <v>0.13333333333333333</v>
      </c>
      <c r="K79" s="42">
        <f t="shared" si="12"/>
        <v>0.16666666666666666</v>
      </c>
      <c r="L79" s="42">
        <f t="shared" si="12"/>
        <v>0.19999999999999998</v>
      </c>
      <c r="M79" s="42">
        <f t="shared" si="12"/>
        <v>0.23333333333333331</v>
      </c>
      <c r="N79" s="42">
        <f t="shared" si="12"/>
        <v>0.26666666666666666</v>
      </c>
      <c r="O79" s="42">
        <f t="shared" si="12"/>
        <v>0.3</v>
      </c>
      <c r="P79" s="42">
        <f t="shared" si="12"/>
        <v>0.33333333333333331</v>
      </c>
      <c r="Q79" s="42">
        <f t="shared" si="12"/>
        <v>0.36666666666666664</v>
      </c>
      <c r="R79" s="42">
        <f t="shared" si="12"/>
        <v>0.39999999999999997</v>
      </c>
      <c r="S79" s="42">
        <f t="shared" si="12"/>
        <v>0.43333333333333329</v>
      </c>
      <c r="T79" s="42">
        <f t="shared" si="12"/>
        <v>0.46666666666666662</v>
      </c>
      <c r="U79" s="42">
        <f t="shared" si="12"/>
        <v>0.49999999999999994</v>
      </c>
      <c r="V79" s="42">
        <f t="shared" si="12"/>
        <v>0.53333333333333333</v>
      </c>
      <c r="W79" s="42">
        <f t="shared" si="12"/>
        <v>0.56666666666666665</v>
      </c>
      <c r="X79" s="42">
        <f t="shared" si="12"/>
        <v>0.6</v>
      </c>
      <c r="Y79" s="42">
        <f t="shared" si="12"/>
        <v>0.6333333333333333</v>
      </c>
      <c r="Z79" s="42">
        <f t="shared" si="12"/>
        <v>0.66666666666666663</v>
      </c>
      <c r="AA79" s="42">
        <f t="shared" si="12"/>
        <v>0.7</v>
      </c>
      <c r="AB79" s="42">
        <f t="shared" si="12"/>
        <v>0.73333333333333328</v>
      </c>
      <c r="AC79" s="42">
        <f t="shared" si="12"/>
        <v>0.76666666666666661</v>
      </c>
      <c r="AD79" s="42">
        <f t="shared" si="12"/>
        <v>0.79999999999999993</v>
      </c>
      <c r="AE79" s="42">
        <f t="shared" si="12"/>
        <v>0.83333333333333326</v>
      </c>
      <c r="AF79" s="42">
        <f t="shared" si="12"/>
        <v>0.86666666666666659</v>
      </c>
      <c r="AG79" s="42">
        <f t="shared" si="12"/>
        <v>0.89999999999999991</v>
      </c>
      <c r="AH79" s="42">
        <f t="shared" si="12"/>
        <v>0.93333333333333324</v>
      </c>
      <c r="AI79" s="42">
        <f t="shared" si="12"/>
        <v>0.96666666666666656</v>
      </c>
      <c r="AJ79" s="42">
        <f t="shared" si="12"/>
        <v>0.99999999999999989</v>
      </c>
    </row>
    <row r="80" spans="6:36" x14ac:dyDescent="0.25">
      <c r="F80" s="47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52">
        <f>IF(AJ18&lt;&gt;"",IF(AJ18&lt;$C$2,0,IF(AJ18&lt;=$D$2,$D$2-AJ18,IF(AJ18&lt;=$E$2,AJ18-$D$2,0))),"")</f>
        <v>0</v>
      </c>
    </row>
    <row r="81" spans="6:36" x14ac:dyDescent="0.25">
      <c r="F81" s="49"/>
      <c r="AI81" s="21">
        <f>IF(AJ80&lt;&gt;"",EXP(-$C$3*$H$3)*($H$6*AJ80+(1-$H$6)*AJ82),"")</f>
        <v>0</v>
      </c>
      <c r="AJ81" s="50" t="str">
        <f t="shared" ref="AJ81:AJ140" si="13">IF(AJ19&lt;&gt;"",IF(AJ19&lt;$C$2,0,IF(AJ19&lt;=$D$2,$D$2-AJ19,IF(AJ19&lt;=$E$2,AJ19-$D$2,0))),"")</f>
        <v/>
      </c>
    </row>
    <row r="82" spans="6:36" x14ac:dyDescent="0.25">
      <c r="F82" s="49"/>
      <c r="AH82" s="21">
        <f>IF(AI81&lt;&gt;"",EXP(-$C$3*$H$3)*($H$6*AI81+(1-$H$6)*AI83),"")</f>
        <v>0</v>
      </c>
      <c r="AI82" s="21" t="str">
        <f t="shared" ref="AI82:AI139" si="14">IF(AJ81&lt;&gt;"",EXP(-$C$3*$H$3)*($H$6*AJ81+(1-$H$6)*AJ83),"")</f>
        <v/>
      </c>
      <c r="AJ82" s="50">
        <f t="shared" si="13"/>
        <v>0</v>
      </c>
    </row>
    <row r="83" spans="6:36" x14ac:dyDescent="0.25">
      <c r="F83" s="49"/>
      <c r="AG83" s="21">
        <f>IF(AH82&lt;&gt;"",EXP(-$C$3*$H$3)*($H$6*AH82+(1-$H$6)*AH84),"")</f>
        <v>0</v>
      </c>
      <c r="AH83" s="21" t="str">
        <f t="shared" ref="AH83:AH138" si="15">IF(AI82&lt;&gt;"",EXP(-$C$3*$H$3)*($H$6*AI82+(1-$H$6)*AI84),"")</f>
        <v/>
      </c>
      <c r="AI83" s="21">
        <f t="shared" si="14"/>
        <v>0</v>
      </c>
      <c r="AJ83" s="50" t="str">
        <f t="shared" si="13"/>
        <v/>
      </c>
    </row>
    <row r="84" spans="6:36" x14ac:dyDescent="0.25">
      <c r="F84" s="49"/>
      <c r="AF84" s="21">
        <f>IF(AG83&lt;&gt;"",EXP(-$C$3*$H$3)*($H$6*AG83+(1-$H$6)*AG85),"")</f>
        <v>0</v>
      </c>
      <c r="AG84" s="21" t="str">
        <f t="shared" ref="AG84:AG137" si="16">IF(AH83&lt;&gt;"",EXP(-$C$3*$H$3)*($H$6*AH83+(1-$H$6)*AH85),"")</f>
        <v/>
      </c>
      <c r="AH84" s="21">
        <f t="shared" si="15"/>
        <v>0</v>
      </c>
      <c r="AI84" s="21" t="str">
        <f t="shared" si="14"/>
        <v/>
      </c>
      <c r="AJ84" s="50">
        <f t="shared" si="13"/>
        <v>0</v>
      </c>
    </row>
    <row r="85" spans="6:36" x14ac:dyDescent="0.25">
      <c r="F85" s="49"/>
      <c r="AE85" s="21">
        <f>IF(AF84&lt;&gt;"",EXP(-$C$3*$H$3)*($H$6*AF84+(1-$H$6)*AF86),"")</f>
        <v>0</v>
      </c>
      <c r="AF85" s="21" t="str">
        <f t="shared" ref="AF85:AF136" si="17">IF(AG84&lt;&gt;"",EXP(-$C$3*$H$3)*($H$6*AG84+(1-$H$6)*AG86),"")</f>
        <v/>
      </c>
      <c r="AG85" s="21">
        <f t="shared" si="16"/>
        <v>0</v>
      </c>
      <c r="AH85" s="21" t="str">
        <f t="shared" si="15"/>
        <v/>
      </c>
      <c r="AI85" s="21">
        <f t="shared" si="14"/>
        <v>0</v>
      </c>
      <c r="AJ85" s="50" t="str">
        <f t="shared" si="13"/>
        <v/>
      </c>
    </row>
    <row r="86" spans="6:36" x14ac:dyDescent="0.25">
      <c r="F86" s="49"/>
      <c r="AD86" s="21">
        <f>IF(AE85&lt;&gt;"",EXP(-$C$3*$H$3)*($H$6*AE85+(1-$H$6)*AE87),"")</f>
        <v>0</v>
      </c>
      <c r="AE86" s="21" t="str">
        <f t="shared" ref="AE86:AE135" si="18">IF(AF85&lt;&gt;"",EXP(-$C$3*$H$3)*($H$6*AF85+(1-$H$6)*AF87),"")</f>
        <v/>
      </c>
      <c r="AF86" s="21">
        <f t="shared" si="17"/>
        <v>0</v>
      </c>
      <c r="AG86" s="21" t="str">
        <f t="shared" si="16"/>
        <v/>
      </c>
      <c r="AH86" s="21">
        <f t="shared" si="15"/>
        <v>0</v>
      </c>
      <c r="AI86" s="21" t="str">
        <f t="shared" si="14"/>
        <v/>
      </c>
      <c r="AJ86" s="50">
        <f t="shared" si="13"/>
        <v>0</v>
      </c>
    </row>
    <row r="87" spans="6:36" x14ac:dyDescent="0.25">
      <c r="F87" s="49"/>
      <c r="AC87" s="21">
        <f>IF(AD86&lt;&gt;"",EXP(-$C$3*$H$3)*($H$6*AD86+(1-$H$6)*AD88),"")</f>
        <v>0</v>
      </c>
      <c r="AD87" s="21" t="str">
        <f t="shared" ref="AD87:AD134" si="19">IF(AE86&lt;&gt;"",EXP(-$C$3*$H$3)*($H$6*AE86+(1-$H$6)*AE88),"")</f>
        <v/>
      </c>
      <c r="AE87" s="21">
        <f t="shared" si="18"/>
        <v>0</v>
      </c>
      <c r="AF87" s="21" t="str">
        <f t="shared" si="17"/>
        <v/>
      </c>
      <c r="AG87" s="21">
        <f t="shared" si="16"/>
        <v>0</v>
      </c>
      <c r="AH87" s="21" t="str">
        <f t="shared" si="15"/>
        <v/>
      </c>
      <c r="AI87" s="21">
        <f t="shared" si="14"/>
        <v>0</v>
      </c>
      <c r="AJ87" s="50" t="str">
        <f t="shared" si="13"/>
        <v/>
      </c>
    </row>
    <row r="88" spans="6:36" x14ac:dyDescent="0.25">
      <c r="F88" s="49"/>
      <c r="AB88" s="21">
        <f>IF(AC87&lt;&gt;"",EXP(-$C$3*$H$3)*($H$6*AC87+(1-$H$6)*AC89),"")</f>
        <v>0</v>
      </c>
      <c r="AC88" s="21" t="str">
        <f t="shared" ref="AC88:AC133" si="20">IF(AD87&lt;&gt;"",EXP(-$C$3*$H$3)*($H$6*AD87+(1-$H$6)*AD89),"")</f>
        <v/>
      </c>
      <c r="AD88" s="21">
        <f t="shared" si="19"/>
        <v>0</v>
      </c>
      <c r="AE88" s="21" t="str">
        <f t="shared" si="18"/>
        <v/>
      </c>
      <c r="AF88" s="21">
        <f t="shared" si="17"/>
        <v>0</v>
      </c>
      <c r="AG88" s="21" t="str">
        <f t="shared" si="16"/>
        <v/>
      </c>
      <c r="AH88" s="21">
        <f t="shared" si="15"/>
        <v>0</v>
      </c>
      <c r="AI88" s="21" t="str">
        <f t="shared" si="14"/>
        <v/>
      </c>
      <c r="AJ88" s="50">
        <f t="shared" si="13"/>
        <v>0</v>
      </c>
    </row>
    <row r="89" spans="6:36" x14ac:dyDescent="0.25">
      <c r="F89" s="49"/>
      <c r="AA89" s="21">
        <f>IF(AB88&lt;&gt;"",EXP(-$C$3*$H$3)*($H$6*AB88+(1-$H$6)*AB90),"")</f>
        <v>0</v>
      </c>
      <c r="AB89" s="21" t="str">
        <f t="shared" ref="AB89:AB132" si="21">IF(AC88&lt;&gt;"",EXP(-$C$3*$H$3)*($H$6*AC88+(1-$H$6)*AC90),"")</f>
        <v/>
      </c>
      <c r="AC89" s="21">
        <f t="shared" si="20"/>
        <v>0</v>
      </c>
      <c r="AD89" s="21" t="str">
        <f t="shared" si="19"/>
        <v/>
      </c>
      <c r="AE89" s="21">
        <f t="shared" si="18"/>
        <v>0</v>
      </c>
      <c r="AF89" s="21" t="str">
        <f t="shared" si="17"/>
        <v/>
      </c>
      <c r="AG89" s="21">
        <f t="shared" si="16"/>
        <v>0</v>
      </c>
      <c r="AH89" s="21" t="str">
        <f t="shared" si="15"/>
        <v/>
      </c>
      <c r="AI89" s="21">
        <f t="shared" si="14"/>
        <v>0</v>
      </c>
      <c r="AJ89" s="50" t="str">
        <f t="shared" si="13"/>
        <v/>
      </c>
    </row>
    <row r="90" spans="6:36" x14ac:dyDescent="0.25">
      <c r="F90" s="49"/>
      <c r="Z90" s="21">
        <f>IF(AA89&lt;&gt;"",EXP(-$C$3*$H$3)*($H$6*AA89+(1-$H$6)*AA91),"")</f>
        <v>0</v>
      </c>
      <c r="AA90" s="21" t="str">
        <f t="shared" ref="AA90:AA131" si="22">IF(AB89&lt;&gt;"",EXP(-$C$3*$H$3)*($H$6*AB89+(1-$H$6)*AB91),"")</f>
        <v/>
      </c>
      <c r="AB90" s="21">
        <f t="shared" si="21"/>
        <v>0</v>
      </c>
      <c r="AC90" s="21" t="str">
        <f t="shared" si="20"/>
        <v/>
      </c>
      <c r="AD90" s="21">
        <f t="shared" si="19"/>
        <v>0</v>
      </c>
      <c r="AE90" s="21" t="str">
        <f t="shared" si="18"/>
        <v/>
      </c>
      <c r="AF90" s="21">
        <f t="shared" si="17"/>
        <v>0</v>
      </c>
      <c r="AG90" s="21" t="str">
        <f t="shared" si="16"/>
        <v/>
      </c>
      <c r="AH90" s="21">
        <f t="shared" si="15"/>
        <v>0</v>
      </c>
      <c r="AI90" s="21" t="str">
        <f t="shared" si="14"/>
        <v/>
      </c>
      <c r="AJ90" s="50">
        <f t="shared" si="13"/>
        <v>0</v>
      </c>
    </row>
    <row r="91" spans="6:36" x14ac:dyDescent="0.25">
      <c r="F91" s="49"/>
      <c r="Y91" s="21">
        <f>IF(Z90&lt;&gt;"",EXP(-$C$3*$H$3)*($H$6*Z90+(1-$H$6)*Z92),"")</f>
        <v>0</v>
      </c>
      <c r="Z91" s="21" t="str">
        <f t="shared" ref="Z91:Z130" si="23">IF(AA90&lt;&gt;"",EXP(-$C$3*$H$3)*($H$6*AA90+(1-$H$6)*AA92),"")</f>
        <v/>
      </c>
      <c r="AA91" s="21">
        <f t="shared" si="22"/>
        <v>0</v>
      </c>
      <c r="AB91" s="21" t="str">
        <f t="shared" si="21"/>
        <v/>
      </c>
      <c r="AC91" s="21">
        <f t="shared" si="20"/>
        <v>0</v>
      </c>
      <c r="AD91" s="21" t="str">
        <f t="shared" si="19"/>
        <v/>
      </c>
      <c r="AE91" s="21">
        <f t="shared" si="18"/>
        <v>0</v>
      </c>
      <c r="AF91" s="21" t="str">
        <f t="shared" si="17"/>
        <v/>
      </c>
      <c r="AG91" s="21">
        <f t="shared" si="16"/>
        <v>0</v>
      </c>
      <c r="AH91" s="21" t="str">
        <f t="shared" si="15"/>
        <v/>
      </c>
      <c r="AI91" s="21">
        <f t="shared" si="14"/>
        <v>0</v>
      </c>
      <c r="AJ91" s="50" t="str">
        <f t="shared" si="13"/>
        <v/>
      </c>
    </row>
    <row r="92" spans="6:36" x14ac:dyDescent="0.25">
      <c r="F92" s="49"/>
      <c r="X92" s="21">
        <f>IF(Y91&lt;&gt;"",EXP(-$C$3*$H$3)*($H$6*Y91+(1-$H$6)*Y93),"")</f>
        <v>0</v>
      </c>
      <c r="Y92" s="21" t="str">
        <f t="shared" ref="Y92:Y129" si="24">IF(Z91&lt;&gt;"",EXP(-$C$3*$H$3)*($H$6*Z91+(1-$H$6)*Z93),"")</f>
        <v/>
      </c>
      <c r="Z92" s="21">
        <f t="shared" si="23"/>
        <v>0</v>
      </c>
      <c r="AA92" s="21" t="str">
        <f t="shared" si="22"/>
        <v/>
      </c>
      <c r="AB92" s="21">
        <f t="shared" si="21"/>
        <v>0</v>
      </c>
      <c r="AC92" s="21" t="str">
        <f t="shared" si="20"/>
        <v/>
      </c>
      <c r="AD92" s="21">
        <f t="shared" si="19"/>
        <v>0</v>
      </c>
      <c r="AE92" s="21" t="str">
        <f t="shared" si="18"/>
        <v/>
      </c>
      <c r="AF92" s="21">
        <f t="shared" si="17"/>
        <v>0</v>
      </c>
      <c r="AG92" s="21" t="str">
        <f t="shared" si="16"/>
        <v/>
      </c>
      <c r="AH92" s="21">
        <f t="shared" si="15"/>
        <v>0</v>
      </c>
      <c r="AI92" s="21" t="str">
        <f t="shared" si="14"/>
        <v/>
      </c>
      <c r="AJ92" s="50">
        <f t="shared" si="13"/>
        <v>0</v>
      </c>
    </row>
    <row r="93" spans="6:36" x14ac:dyDescent="0.25">
      <c r="F93" s="49"/>
      <c r="W93" s="21">
        <f>IF(X92&lt;&gt;"",EXP(-$C$3*$H$3)*($H$6*X92+(1-$H$6)*X94),"")</f>
        <v>0</v>
      </c>
      <c r="X93" s="21" t="str">
        <f t="shared" ref="X93:X128" si="25">IF(Y92&lt;&gt;"",EXP(-$C$3*$H$3)*($H$6*Y92+(1-$H$6)*Y94),"")</f>
        <v/>
      </c>
      <c r="Y93" s="21">
        <f t="shared" si="24"/>
        <v>0</v>
      </c>
      <c r="Z93" s="21" t="str">
        <f t="shared" si="23"/>
        <v/>
      </c>
      <c r="AA93" s="21">
        <f t="shared" si="22"/>
        <v>0</v>
      </c>
      <c r="AB93" s="21" t="str">
        <f t="shared" si="21"/>
        <v/>
      </c>
      <c r="AC93" s="21">
        <f t="shared" si="20"/>
        <v>0</v>
      </c>
      <c r="AD93" s="21" t="str">
        <f t="shared" si="19"/>
        <v/>
      </c>
      <c r="AE93" s="21">
        <f t="shared" si="18"/>
        <v>0</v>
      </c>
      <c r="AF93" s="21" t="str">
        <f t="shared" si="17"/>
        <v/>
      </c>
      <c r="AG93" s="21">
        <f t="shared" si="16"/>
        <v>0</v>
      </c>
      <c r="AH93" s="21" t="str">
        <f t="shared" si="15"/>
        <v/>
      </c>
      <c r="AI93" s="21">
        <f t="shared" si="14"/>
        <v>0</v>
      </c>
      <c r="AJ93" s="50" t="str">
        <f t="shared" si="13"/>
        <v/>
      </c>
    </row>
    <row r="94" spans="6:36" x14ac:dyDescent="0.25">
      <c r="F94" s="49"/>
      <c r="V94" s="21">
        <f>IF(W93&lt;&gt;"",EXP(-$C$3*$H$3)*($H$6*W93+(1-$H$6)*W95),"")</f>
        <v>0</v>
      </c>
      <c r="W94" s="21" t="str">
        <f t="shared" ref="W94:W127" si="26">IF(X93&lt;&gt;"",EXP(-$C$3*$H$3)*($H$6*X93+(1-$H$6)*X95),"")</f>
        <v/>
      </c>
      <c r="X94" s="21">
        <f t="shared" si="25"/>
        <v>0</v>
      </c>
      <c r="Y94" s="21" t="str">
        <f t="shared" si="24"/>
        <v/>
      </c>
      <c r="Z94" s="21">
        <f t="shared" si="23"/>
        <v>0</v>
      </c>
      <c r="AA94" s="21" t="str">
        <f t="shared" si="22"/>
        <v/>
      </c>
      <c r="AB94" s="21">
        <f t="shared" si="21"/>
        <v>0</v>
      </c>
      <c r="AC94" s="21" t="str">
        <f t="shared" si="20"/>
        <v/>
      </c>
      <c r="AD94" s="21">
        <f t="shared" si="19"/>
        <v>0</v>
      </c>
      <c r="AE94" s="21" t="str">
        <f t="shared" si="18"/>
        <v/>
      </c>
      <c r="AF94" s="21">
        <f t="shared" si="17"/>
        <v>0</v>
      </c>
      <c r="AG94" s="21" t="str">
        <f t="shared" si="16"/>
        <v/>
      </c>
      <c r="AH94" s="21">
        <f t="shared" si="15"/>
        <v>0</v>
      </c>
      <c r="AI94" s="21" t="str">
        <f t="shared" si="14"/>
        <v/>
      </c>
      <c r="AJ94" s="50">
        <f t="shared" si="13"/>
        <v>0</v>
      </c>
    </row>
    <row r="95" spans="6:36" x14ac:dyDescent="0.25">
      <c r="F95" s="49"/>
      <c r="U95" s="21">
        <f>IF(V94&lt;&gt;"",EXP(-$C$3*$H$3)*($H$6*V94+(1-$H$6)*V96),"")</f>
        <v>3.4278231517431473E-4</v>
      </c>
      <c r="V95" s="21" t="str">
        <f t="shared" ref="V95:V126" si="27">IF(W94&lt;&gt;"",EXP(-$C$3*$H$3)*($H$6*W94+(1-$H$6)*W96),"")</f>
        <v/>
      </c>
      <c r="W95" s="21">
        <f t="shared" si="26"/>
        <v>0</v>
      </c>
      <c r="X95" s="21" t="str">
        <f t="shared" si="25"/>
        <v/>
      </c>
      <c r="Y95" s="21">
        <f t="shared" si="24"/>
        <v>0</v>
      </c>
      <c r="Z95" s="21" t="str">
        <f t="shared" si="23"/>
        <v/>
      </c>
      <c r="AA95" s="21">
        <f t="shared" si="22"/>
        <v>0</v>
      </c>
      <c r="AB95" s="21" t="str">
        <f t="shared" si="21"/>
        <v/>
      </c>
      <c r="AC95" s="21">
        <f t="shared" si="20"/>
        <v>0</v>
      </c>
      <c r="AD95" s="21" t="str">
        <f t="shared" si="19"/>
        <v/>
      </c>
      <c r="AE95" s="21">
        <f t="shared" si="18"/>
        <v>0</v>
      </c>
      <c r="AF95" s="21" t="str">
        <f t="shared" si="17"/>
        <v/>
      </c>
      <c r="AG95" s="21">
        <f t="shared" si="16"/>
        <v>0</v>
      </c>
      <c r="AH95" s="21" t="str">
        <f t="shared" si="15"/>
        <v/>
      </c>
      <c r="AI95" s="21">
        <f t="shared" si="14"/>
        <v>0</v>
      </c>
      <c r="AJ95" s="50" t="str">
        <f t="shared" si="13"/>
        <v/>
      </c>
    </row>
    <row r="96" spans="6:36" x14ac:dyDescent="0.25">
      <c r="F96" s="49"/>
      <c r="T96" s="21">
        <f>IF(U95&lt;&gt;"",EXP(-$C$3*$H$3)*($H$6*U95+(1-$H$6)*U97),"")</f>
        <v>2.738035403502378E-3</v>
      </c>
      <c r="U96" s="21" t="str">
        <f t="shared" ref="U96:U125" si="28">IF(V95&lt;&gt;"",EXP(-$C$3*$H$3)*($H$6*V95+(1-$H$6)*V97),"")</f>
        <v/>
      </c>
      <c r="V96" s="21">
        <f t="shared" si="27"/>
        <v>6.8027396022150106E-4</v>
      </c>
      <c r="W96" s="21" t="str">
        <f t="shared" si="26"/>
        <v/>
      </c>
      <c r="X96" s="21">
        <f t="shared" si="25"/>
        <v>0</v>
      </c>
      <c r="Y96" s="21" t="str">
        <f t="shared" si="24"/>
        <v/>
      </c>
      <c r="Z96" s="21">
        <f t="shared" si="23"/>
        <v>0</v>
      </c>
      <c r="AA96" s="21" t="str">
        <f t="shared" si="22"/>
        <v/>
      </c>
      <c r="AB96" s="21">
        <f t="shared" si="21"/>
        <v>0</v>
      </c>
      <c r="AC96" s="21" t="str">
        <f t="shared" si="20"/>
        <v/>
      </c>
      <c r="AD96" s="21">
        <f t="shared" si="19"/>
        <v>0</v>
      </c>
      <c r="AE96" s="21" t="str">
        <f t="shared" si="18"/>
        <v/>
      </c>
      <c r="AF96" s="21">
        <f t="shared" si="17"/>
        <v>0</v>
      </c>
      <c r="AG96" s="21" t="str">
        <f t="shared" si="16"/>
        <v/>
      </c>
      <c r="AH96" s="21">
        <f t="shared" si="15"/>
        <v>0</v>
      </c>
      <c r="AI96" s="21" t="str">
        <f t="shared" si="14"/>
        <v/>
      </c>
      <c r="AJ96" s="50">
        <f t="shared" si="13"/>
        <v>0</v>
      </c>
    </row>
    <row r="97" spans="4:36" x14ac:dyDescent="0.25">
      <c r="F97" s="49"/>
      <c r="S97" s="21">
        <f>IF(T96&lt;&gt;"",EXP(-$C$3*$H$3)*($H$6*T96+(1-$H$6)*T98),"")</f>
        <v>1.1719135055792949E-2</v>
      </c>
      <c r="T97" s="21" t="str">
        <f t="shared" ref="T97:T124" si="29">IF(U96&lt;&gt;"",EXP(-$C$3*$H$3)*($H$6*U96+(1-$H$6)*U98),"")</f>
        <v/>
      </c>
      <c r="U97" s="21">
        <f t="shared" si="28"/>
        <v>5.0972254101379838E-3</v>
      </c>
      <c r="V97" s="21" t="str">
        <f t="shared" si="27"/>
        <v/>
      </c>
      <c r="W97" s="21">
        <f t="shared" si="26"/>
        <v>1.3500482389825481E-3</v>
      </c>
      <c r="X97" s="21" t="str">
        <f t="shared" si="25"/>
        <v/>
      </c>
      <c r="Y97" s="21">
        <f t="shared" si="24"/>
        <v>0</v>
      </c>
      <c r="Z97" s="21" t="str">
        <f t="shared" si="23"/>
        <v/>
      </c>
      <c r="AA97" s="21">
        <f t="shared" si="22"/>
        <v>0</v>
      </c>
      <c r="AB97" s="21" t="str">
        <f t="shared" si="21"/>
        <v/>
      </c>
      <c r="AC97" s="21">
        <f t="shared" si="20"/>
        <v>0</v>
      </c>
      <c r="AD97" s="21" t="str">
        <f t="shared" si="19"/>
        <v/>
      </c>
      <c r="AE97" s="21">
        <f t="shared" si="18"/>
        <v>0</v>
      </c>
      <c r="AF97" s="21" t="str">
        <f t="shared" si="17"/>
        <v/>
      </c>
      <c r="AG97" s="21">
        <f t="shared" si="16"/>
        <v>0</v>
      </c>
      <c r="AH97" s="21" t="str">
        <f t="shared" si="15"/>
        <v/>
      </c>
      <c r="AI97" s="21">
        <f t="shared" si="14"/>
        <v>0</v>
      </c>
      <c r="AJ97" s="50" t="str">
        <f t="shared" si="13"/>
        <v/>
      </c>
    </row>
    <row r="98" spans="4:36" x14ac:dyDescent="0.25">
      <c r="F98" s="49"/>
      <c r="R98" s="21">
        <f>IF(S97&lt;&gt;"",EXP(-$C$3*$H$3)*($H$6*S97+(1-$H$6)*S99),"")</f>
        <v>3.5696696653265476E-2</v>
      </c>
      <c r="S98" s="21" t="str">
        <f t="shared" ref="S98:S123" si="30">IF(T97&lt;&gt;"",EXP(-$C$3*$H$3)*($H$6*T97+(1-$H$6)*T99),"")</f>
        <v/>
      </c>
      <c r="T98" s="21">
        <f t="shared" si="29"/>
        <v>2.056885627056174E-2</v>
      </c>
      <c r="U98" s="21" t="str">
        <f t="shared" si="28"/>
        <v/>
      </c>
      <c r="V98" s="21">
        <f t="shared" si="27"/>
        <v>9.4478023330209302E-3</v>
      </c>
      <c r="W98" s="21" t="str">
        <f t="shared" si="26"/>
        <v/>
      </c>
      <c r="X98" s="21">
        <f t="shared" si="25"/>
        <v>2.6792591722699789E-3</v>
      </c>
      <c r="Y98" s="21" t="str">
        <f t="shared" si="24"/>
        <v/>
      </c>
      <c r="Z98" s="21">
        <f t="shared" si="23"/>
        <v>0</v>
      </c>
      <c r="AA98" s="21" t="str">
        <f t="shared" si="22"/>
        <v/>
      </c>
      <c r="AB98" s="21">
        <f t="shared" si="21"/>
        <v>0</v>
      </c>
      <c r="AC98" s="21" t="str">
        <f t="shared" si="20"/>
        <v/>
      </c>
      <c r="AD98" s="21">
        <f t="shared" si="19"/>
        <v>0</v>
      </c>
      <c r="AE98" s="21" t="str">
        <f t="shared" si="18"/>
        <v/>
      </c>
      <c r="AF98" s="21">
        <f t="shared" si="17"/>
        <v>0</v>
      </c>
      <c r="AG98" s="21" t="str">
        <f t="shared" si="16"/>
        <v/>
      </c>
      <c r="AH98" s="21">
        <f t="shared" si="15"/>
        <v>0</v>
      </c>
      <c r="AI98" s="21" t="str">
        <f t="shared" si="14"/>
        <v/>
      </c>
      <c r="AJ98" s="50">
        <f t="shared" si="13"/>
        <v>0</v>
      </c>
    </row>
    <row r="99" spans="4:36" x14ac:dyDescent="0.25">
      <c r="F99" s="49"/>
      <c r="Q99" s="21">
        <f>IF(R98&lt;&gt;"",EXP(-$C$3*$H$3)*($H$6*R98+(1-$H$6)*R100),"")</f>
        <v>8.6731586923676954E-2</v>
      </c>
      <c r="R99" s="21" t="str">
        <f t="shared" ref="R99:R122" si="31">IF(S98&lt;&gt;"",EXP(-$C$3*$H$3)*($H$6*S98+(1-$H$6)*S100),"")</f>
        <v/>
      </c>
      <c r="S99" s="21">
        <f t="shared" si="30"/>
        <v>5.9335166013172881E-2</v>
      </c>
      <c r="T99" s="21" t="str">
        <f t="shared" si="29"/>
        <v/>
      </c>
      <c r="U99" s="21">
        <f t="shared" si="28"/>
        <v>3.5815169119041097E-2</v>
      </c>
      <c r="V99" s="21" t="str">
        <f t="shared" si="27"/>
        <v/>
      </c>
      <c r="W99" s="21">
        <f t="shared" si="26"/>
        <v>1.7424141689623061E-2</v>
      </c>
      <c r="X99" s="21" t="str">
        <f t="shared" si="25"/>
        <v/>
      </c>
      <c r="Y99" s="21">
        <f t="shared" si="24"/>
        <v>5.3171653463307154E-3</v>
      </c>
      <c r="Z99" s="21" t="str">
        <f t="shared" si="23"/>
        <v/>
      </c>
      <c r="AA99" s="21">
        <f t="shared" si="22"/>
        <v>0</v>
      </c>
      <c r="AB99" s="21" t="str">
        <f t="shared" si="21"/>
        <v/>
      </c>
      <c r="AC99" s="21">
        <f t="shared" si="20"/>
        <v>0</v>
      </c>
      <c r="AD99" s="21" t="str">
        <f t="shared" si="19"/>
        <v/>
      </c>
      <c r="AE99" s="21">
        <f t="shared" si="18"/>
        <v>0</v>
      </c>
      <c r="AF99" s="21" t="str">
        <f t="shared" si="17"/>
        <v/>
      </c>
      <c r="AG99" s="21">
        <f t="shared" si="16"/>
        <v>0</v>
      </c>
      <c r="AH99" s="21" t="str">
        <f t="shared" si="15"/>
        <v/>
      </c>
      <c r="AI99" s="21">
        <f t="shared" si="14"/>
        <v>0</v>
      </c>
      <c r="AJ99" s="50" t="str">
        <f t="shared" si="13"/>
        <v/>
      </c>
    </row>
    <row r="100" spans="4:36" x14ac:dyDescent="0.25">
      <c r="F100" s="49"/>
      <c r="P100" s="21">
        <f>IF(Q99&lt;&gt;"",EXP(-$C$3*$H$3)*($H$6*Q99+(1-$H$6)*Q101),"")</f>
        <v>0.17866619336270328</v>
      </c>
      <c r="Q100" s="21" t="str">
        <f t="shared" ref="Q100:Q121" si="32">IF(R99&lt;&gt;"",EXP(-$C$3*$H$3)*($H$6*R99+(1-$H$6)*R101),"")</f>
        <v/>
      </c>
      <c r="R100" s="21">
        <f t="shared" si="31"/>
        <v>0.13707317333802135</v>
      </c>
      <c r="S100" s="21" t="str">
        <f t="shared" si="30"/>
        <v/>
      </c>
      <c r="T100" s="21">
        <f t="shared" si="29"/>
        <v>9.7557528267526533E-2</v>
      </c>
      <c r="U100" s="21" t="str">
        <f t="shared" si="28"/>
        <v/>
      </c>
      <c r="V100" s="21">
        <f t="shared" si="27"/>
        <v>6.18005521040337E-2</v>
      </c>
      <c r="W100" s="21" t="str">
        <f t="shared" si="26"/>
        <v/>
      </c>
      <c r="X100" s="21">
        <f t="shared" si="25"/>
        <v>3.1948529298548134E-2</v>
      </c>
      <c r="Y100" s="21" t="str">
        <f t="shared" si="24"/>
        <v/>
      </c>
      <c r="Z100" s="21">
        <f t="shared" si="23"/>
        <v>1.0552262958669588E-2</v>
      </c>
      <c r="AA100" s="21" t="str">
        <f t="shared" si="22"/>
        <v/>
      </c>
      <c r="AB100" s="21">
        <f t="shared" si="21"/>
        <v>0</v>
      </c>
      <c r="AC100" s="21" t="str">
        <f t="shared" si="20"/>
        <v/>
      </c>
      <c r="AD100" s="21">
        <f t="shared" si="19"/>
        <v>0</v>
      </c>
      <c r="AE100" s="21" t="str">
        <f t="shared" si="18"/>
        <v/>
      </c>
      <c r="AF100" s="21">
        <f t="shared" si="17"/>
        <v>0</v>
      </c>
      <c r="AG100" s="21" t="str">
        <f t="shared" si="16"/>
        <v/>
      </c>
      <c r="AH100" s="21">
        <f t="shared" si="15"/>
        <v>0</v>
      </c>
      <c r="AI100" s="21" t="str">
        <f t="shared" si="14"/>
        <v/>
      </c>
      <c r="AJ100" s="50">
        <f t="shared" si="13"/>
        <v>0</v>
      </c>
    </row>
    <row r="101" spans="4:36" x14ac:dyDescent="0.25">
      <c r="F101" s="49"/>
      <c r="O101" s="21">
        <f>IF(P100&lt;&gt;"",EXP(-$C$3*$H$3)*($H$6*P100+(1-$H$6)*P102),"")</f>
        <v>0.32397084939228971</v>
      </c>
      <c r="P101" s="21" t="str">
        <f t="shared" ref="P101:P120" si="33">IF(Q100&lt;&gt;"",EXP(-$C$3*$H$3)*($H$6*Q100+(1-$H$6)*Q102),"")</f>
        <v/>
      </c>
      <c r="Q101" s="21">
        <f t="shared" si="32"/>
        <v>0.2694111824849092</v>
      </c>
      <c r="R101" s="21" t="str">
        <f t="shared" si="31"/>
        <v/>
      </c>
      <c r="S101" s="21">
        <f t="shared" si="30"/>
        <v>0.21376823559412625</v>
      </c>
      <c r="T101" s="21" t="str">
        <f t="shared" si="29"/>
        <v/>
      </c>
      <c r="U101" s="21">
        <f t="shared" si="28"/>
        <v>0.1584416325209819</v>
      </c>
      <c r="V101" s="21" t="str">
        <f t="shared" si="27"/>
        <v/>
      </c>
      <c r="W101" s="21">
        <f t="shared" si="26"/>
        <v>0.10553811034445146</v>
      </c>
      <c r="X101" s="21" t="str">
        <f t="shared" si="25"/>
        <v/>
      </c>
      <c r="Y101" s="21">
        <f t="shared" si="24"/>
        <v>5.8182912045365687E-2</v>
      </c>
      <c r="Z101" s="21" t="str">
        <f t="shared" si="23"/>
        <v/>
      </c>
      <c r="AA101" s="21">
        <f t="shared" si="22"/>
        <v>2.0941657122953893E-2</v>
      </c>
      <c r="AB101" s="21" t="str">
        <f t="shared" si="21"/>
        <v/>
      </c>
      <c r="AC101" s="21">
        <f t="shared" si="20"/>
        <v>0</v>
      </c>
      <c r="AD101" s="21" t="str">
        <f t="shared" si="19"/>
        <v/>
      </c>
      <c r="AE101" s="21">
        <f t="shared" si="18"/>
        <v>0</v>
      </c>
      <c r="AF101" s="21" t="str">
        <f t="shared" si="17"/>
        <v/>
      </c>
      <c r="AG101" s="21">
        <f t="shared" si="16"/>
        <v>0</v>
      </c>
      <c r="AH101" s="21" t="str">
        <f t="shared" si="15"/>
        <v/>
      </c>
      <c r="AI101" s="21">
        <f t="shared" si="14"/>
        <v>0</v>
      </c>
      <c r="AJ101" s="50" t="str">
        <f t="shared" si="13"/>
        <v/>
      </c>
    </row>
    <row r="102" spans="4:36" x14ac:dyDescent="0.25">
      <c r="F102" s="49"/>
      <c r="N102" s="21">
        <f>IF(O101&lt;&gt;"",EXP(-$C$3*$H$3)*($H$6*O101+(1-$H$6)*O103),"")</f>
        <v>0.53020526975994475</v>
      </c>
      <c r="O102" s="21" t="str">
        <f t="shared" ref="O102:O119" si="34">IF(P101&lt;&gt;"",EXP(-$C$3*$H$3)*($H$6*P101+(1-$H$6)*P103),"")</f>
        <v/>
      </c>
      <c r="P102" s="21">
        <f t="shared" si="33"/>
        <v>0.46750525351505301</v>
      </c>
      <c r="Q102" s="21" t="str">
        <f t="shared" si="32"/>
        <v/>
      </c>
      <c r="R102" s="21">
        <f t="shared" si="31"/>
        <v>0.40006908787916562</v>
      </c>
      <c r="S102" s="21" t="str">
        <f t="shared" si="30"/>
        <v/>
      </c>
      <c r="T102" s="21">
        <f t="shared" si="29"/>
        <v>0.32844326367109594</v>
      </c>
      <c r="U102" s="21" t="str">
        <f t="shared" si="28"/>
        <v/>
      </c>
      <c r="V102" s="21">
        <f t="shared" si="27"/>
        <v>0.25375452786125163</v>
      </c>
      <c r="W102" s="21" t="str">
        <f t="shared" si="26"/>
        <v/>
      </c>
      <c r="X102" s="21">
        <f t="shared" si="25"/>
        <v>0.17807635602172645</v>
      </c>
      <c r="Y102" s="21" t="str">
        <f t="shared" si="24"/>
        <v/>
      </c>
      <c r="Z102" s="21">
        <f t="shared" si="23"/>
        <v>0.10510630997031323</v>
      </c>
      <c r="AA102" s="21" t="str">
        <f t="shared" si="22"/>
        <v/>
      </c>
      <c r="AB102" s="21">
        <f t="shared" si="21"/>
        <v>4.156009045387337E-2</v>
      </c>
      <c r="AC102" s="21" t="str">
        <f t="shared" si="20"/>
        <v/>
      </c>
      <c r="AD102" s="21">
        <f t="shared" si="19"/>
        <v>0</v>
      </c>
      <c r="AE102" s="21" t="str">
        <f t="shared" si="18"/>
        <v/>
      </c>
      <c r="AF102" s="21">
        <f t="shared" si="17"/>
        <v>0</v>
      </c>
      <c r="AG102" s="21" t="str">
        <f t="shared" si="16"/>
        <v/>
      </c>
      <c r="AH102" s="21">
        <f t="shared" si="15"/>
        <v>0</v>
      </c>
      <c r="AI102" s="21" t="str">
        <f t="shared" si="14"/>
        <v/>
      </c>
      <c r="AJ102" s="50">
        <f t="shared" si="13"/>
        <v>0</v>
      </c>
    </row>
    <row r="103" spans="4:36" x14ac:dyDescent="0.25">
      <c r="F103" s="49"/>
      <c r="M103" s="21">
        <f>IF(N102&lt;&gt;"",EXP(-$C$3*$H$3)*($H$6*N102+(1-$H$6)*N104),"")</f>
        <v>0.79715928924120405</v>
      </c>
      <c r="N103" s="21" t="str">
        <f t="shared" ref="N103:N118" si="35">IF(O102&lt;&gt;"",EXP(-$C$3*$H$3)*($H$6*O102+(1-$H$6)*O104),"")</f>
        <v/>
      </c>
      <c r="O103" s="21">
        <f t="shared" si="34"/>
        <v>0.73411325099794011</v>
      </c>
      <c r="P103" s="21" t="str">
        <f t="shared" si="33"/>
        <v/>
      </c>
      <c r="Q103" s="21">
        <f t="shared" si="32"/>
        <v>0.66325425411328609</v>
      </c>
      <c r="R103" s="21" t="str">
        <f t="shared" si="31"/>
        <v/>
      </c>
      <c r="S103" s="21">
        <f t="shared" si="30"/>
        <v>0.5840597540621042</v>
      </c>
      <c r="T103" s="21" t="str">
        <f t="shared" si="29"/>
        <v/>
      </c>
      <c r="U103" s="21">
        <f t="shared" si="28"/>
        <v>0.49623997741215237</v>
      </c>
      <c r="V103" s="21" t="str">
        <f t="shared" si="27"/>
        <v/>
      </c>
      <c r="W103" s="21">
        <f t="shared" si="26"/>
        <v>0.39996237756812036</v>
      </c>
      <c r="X103" s="21" t="str">
        <f t="shared" si="25"/>
        <v/>
      </c>
      <c r="Y103" s="21">
        <f t="shared" si="24"/>
        <v>0.29627316034189233</v>
      </c>
      <c r="Z103" s="21" t="str">
        <f t="shared" si="23"/>
        <v/>
      </c>
      <c r="AA103" s="21">
        <f t="shared" si="22"/>
        <v>0.18802730087475161</v>
      </c>
      <c r="AB103" s="21" t="str">
        <f t="shared" si="21"/>
        <v/>
      </c>
      <c r="AC103" s="21">
        <f t="shared" si="20"/>
        <v>8.2478722117980283E-2</v>
      </c>
      <c r="AD103" s="21" t="str">
        <f t="shared" si="19"/>
        <v/>
      </c>
      <c r="AE103" s="21">
        <f t="shared" si="18"/>
        <v>0</v>
      </c>
      <c r="AF103" s="21" t="str">
        <f t="shared" si="17"/>
        <v/>
      </c>
      <c r="AG103" s="21">
        <f t="shared" si="16"/>
        <v>0</v>
      </c>
      <c r="AH103" s="21" t="str">
        <f t="shared" si="15"/>
        <v/>
      </c>
      <c r="AI103" s="21">
        <f t="shared" si="14"/>
        <v>0</v>
      </c>
      <c r="AJ103" s="50" t="str">
        <f t="shared" si="13"/>
        <v/>
      </c>
    </row>
    <row r="104" spans="4:36" x14ac:dyDescent="0.25">
      <c r="F104" s="49"/>
      <c r="L104" s="21">
        <f>IF(M103&lt;&gt;"",EXP(-$C$3*$H$3)*($H$6*M103+(1-$H$6)*M105),"")</f>
        <v>1.1155177914714065</v>
      </c>
      <c r="M104" s="21" t="str">
        <f t="shared" ref="M104:M117" si="36">IF(N103&lt;&gt;"",EXP(-$C$3*$H$3)*($H$6*N103+(1-$H$6)*N105),"")</f>
        <v/>
      </c>
      <c r="N104" s="21">
        <f t="shared" si="35"/>
        <v>1.0613950442055418</v>
      </c>
      <c r="O104" s="21" t="str">
        <f t="shared" si="34"/>
        <v/>
      </c>
      <c r="P104" s="21">
        <f t="shared" si="33"/>
        <v>0.99784252547458441</v>
      </c>
      <c r="Q104" s="21" t="str">
        <f t="shared" si="32"/>
        <v/>
      </c>
      <c r="R104" s="21">
        <f t="shared" si="31"/>
        <v>0.92343520391880873</v>
      </c>
      <c r="S104" s="21" t="str">
        <f t="shared" si="30"/>
        <v/>
      </c>
      <c r="T104" s="21">
        <f t="shared" si="29"/>
        <v>0.83659944478300274</v>
      </c>
      <c r="U104" s="21" t="str">
        <f t="shared" si="28"/>
        <v/>
      </c>
      <c r="V104" s="21">
        <f t="shared" si="27"/>
        <v>0.73565379698603539</v>
      </c>
      <c r="W104" s="21" t="str">
        <f t="shared" si="26"/>
        <v/>
      </c>
      <c r="X104" s="21">
        <f t="shared" si="25"/>
        <v>0.6188945931861517</v>
      </c>
      <c r="Y104" s="21" t="str">
        <f t="shared" si="24"/>
        <v/>
      </c>
      <c r="Z104" s="21">
        <f t="shared" si="23"/>
        <v>0.48476738306812572</v>
      </c>
      <c r="AA104" s="21" t="str">
        <f t="shared" si="22"/>
        <v/>
      </c>
      <c r="AB104" s="21">
        <f t="shared" si="21"/>
        <v>0.33234376298656582</v>
      </c>
      <c r="AC104" s="21" t="str">
        <f t="shared" si="20"/>
        <v/>
      </c>
      <c r="AD104" s="21">
        <f t="shared" si="19"/>
        <v>0.16368442724553789</v>
      </c>
      <c r="AE104" s="21" t="str">
        <f t="shared" si="18"/>
        <v/>
      </c>
      <c r="AF104" s="21">
        <f t="shared" si="17"/>
        <v>0</v>
      </c>
      <c r="AG104" s="21" t="str">
        <f t="shared" si="16"/>
        <v/>
      </c>
      <c r="AH104" s="21">
        <f t="shared" si="15"/>
        <v>0</v>
      </c>
      <c r="AI104" s="21" t="str">
        <f t="shared" si="14"/>
        <v/>
      </c>
      <c r="AJ104" s="50">
        <f t="shared" si="13"/>
        <v>0</v>
      </c>
    </row>
    <row r="105" spans="4:36" x14ac:dyDescent="0.25">
      <c r="F105" s="49"/>
      <c r="K105" s="21">
        <f>IF(L104&lt;&gt;"",EXP(-$C$3*$H$3)*($H$6*L104+(1-$H$6)*L106),"")</f>
        <v>1.467423790384911</v>
      </c>
      <c r="L105" s="21" t="str">
        <f t="shared" ref="L105:L116" si="37">IF(M104&lt;&gt;"",EXP(-$C$3*$H$3)*($H$6*M104+(1-$H$6)*M106),"")</f>
        <v/>
      </c>
      <c r="M105" s="21">
        <f t="shared" si="36"/>
        <v>1.4310705401630084</v>
      </c>
      <c r="N105" s="21" t="str">
        <f t="shared" si="35"/>
        <v/>
      </c>
      <c r="O105" s="21">
        <f t="shared" si="34"/>
        <v>1.3855666432748863</v>
      </c>
      <c r="P105" s="21" t="str">
        <f t="shared" si="33"/>
        <v/>
      </c>
      <c r="Q105" s="21">
        <f t="shared" si="32"/>
        <v>1.3290204567842971</v>
      </c>
      <c r="R105" s="21" t="str">
        <f t="shared" si="31"/>
        <v/>
      </c>
      <c r="S105" s="21">
        <f t="shared" si="30"/>
        <v>1.2591170101436513</v>
      </c>
      <c r="T105" s="21" t="str">
        <f t="shared" si="29"/>
        <v/>
      </c>
      <c r="U105" s="21">
        <f t="shared" si="28"/>
        <v>1.1730178567643226</v>
      </c>
      <c r="V105" s="21" t="str">
        <f t="shared" si="27"/>
        <v/>
      </c>
      <c r="W105" s="21">
        <f t="shared" si="26"/>
        <v>1.0672216207777478</v>
      </c>
      <c r="X105" s="21" t="str">
        <f t="shared" si="25"/>
        <v/>
      </c>
      <c r="Y105" s="21">
        <f t="shared" si="24"/>
        <v>0.93731997108472664</v>
      </c>
      <c r="Z105" s="21" t="str">
        <f t="shared" si="23"/>
        <v/>
      </c>
      <c r="AA105" s="21">
        <f t="shared" si="22"/>
        <v>0.77742463862499067</v>
      </c>
      <c r="AB105" s="21" t="str">
        <f t="shared" si="21"/>
        <v/>
      </c>
      <c r="AC105" s="21">
        <f t="shared" si="20"/>
        <v>0.57857036491547287</v>
      </c>
      <c r="AD105" s="21" t="str">
        <f t="shared" si="19"/>
        <v/>
      </c>
      <c r="AE105" s="21">
        <f t="shared" si="18"/>
        <v>0.32484246887790991</v>
      </c>
      <c r="AF105" s="21" t="str">
        <f t="shared" si="17"/>
        <v/>
      </c>
      <c r="AG105" s="21">
        <f t="shared" si="16"/>
        <v>0</v>
      </c>
      <c r="AH105" s="21" t="str">
        <f t="shared" si="15"/>
        <v/>
      </c>
      <c r="AI105" s="21">
        <f t="shared" si="14"/>
        <v>0</v>
      </c>
      <c r="AJ105" s="50" t="str">
        <f t="shared" si="13"/>
        <v/>
      </c>
    </row>
    <row r="106" spans="4:36" x14ac:dyDescent="0.25">
      <c r="F106" s="49"/>
      <c r="J106" s="21">
        <f>IF(K105&lt;&gt;"",EXP(-$C$3*$H$3)*($H$6*K105+(1-$H$6)*K107),"")</f>
        <v>1.828779727817105</v>
      </c>
      <c r="K106" s="21" t="str">
        <f t="shared" ref="K106:K115" si="38">IF(L105&lt;&gt;"",EXP(-$C$3*$H$3)*($H$6*L105+(1-$H$6)*L107),"")</f>
        <v/>
      </c>
      <c r="L106" s="21">
        <f t="shared" si="37"/>
        <v>1.8168480903175495</v>
      </c>
      <c r="M106" s="21" t="str">
        <f t="shared" si="36"/>
        <v/>
      </c>
      <c r="N106" s="21">
        <f t="shared" si="35"/>
        <v>1.7978469559363048</v>
      </c>
      <c r="O106" s="21" t="str">
        <f t="shared" si="34"/>
        <v/>
      </c>
      <c r="P106" s="21">
        <f t="shared" si="33"/>
        <v>1.7699450561671857</v>
      </c>
      <c r="Q106" s="21" t="str">
        <f t="shared" si="32"/>
        <v/>
      </c>
      <c r="R106" s="21">
        <f t="shared" si="31"/>
        <v>1.7307875701642843</v>
      </c>
      <c r="S106" s="21" t="str">
        <f t="shared" si="30"/>
        <v/>
      </c>
      <c r="T106" s="21">
        <f t="shared" si="29"/>
        <v>1.6773254725270514</v>
      </c>
      <c r="U106" s="21" t="str">
        <f t="shared" si="28"/>
        <v/>
      </c>
      <c r="V106" s="21">
        <f t="shared" si="27"/>
        <v>1.6055767324930865</v>
      </c>
      <c r="W106" s="21" t="str">
        <f t="shared" si="26"/>
        <v/>
      </c>
      <c r="X106" s="21">
        <f t="shared" si="25"/>
        <v>1.5102655073322706</v>
      </c>
      <c r="Y106" s="21" t="str">
        <f t="shared" si="24"/>
        <v/>
      </c>
      <c r="Z106" s="21">
        <f t="shared" si="23"/>
        <v>1.3841695228847237</v>
      </c>
      <c r="AA106" s="21" t="str">
        <f t="shared" si="22"/>
        <v/>
      </c>
      <c r="AB106" s="21">
        <f t="shared" si="21"/>
        <v>1.2165147426670582</v>
      </c>
      <c r="AC106" s="21" t="str">
        <f t="shared" si="20"/>
        <v/>
      </c>
      <c r="AD106" s="21">
        <f t="shared" si="19"/>
        <v>0.9874855845078111</v>
      </c>
      <c r="AE106" s="21" t="str">
        <f t="shared" si="18"/>
        <v/>
      </c>
      <c r="AF106" s="21">
        <f t="shared" si="17"/>
        <v>0.6446711600023175</v>
      </c>
      <c r="AG106" s="21" t="str">
        <f t="shared" si="16"/>
        <v/>
      </c>
      <c r="AH106" s="21">
        <f t="shared" si="15"/>
        <v>0</v>
      </c>
      <c r="AI106" s="21" t="str">
        <f t="shared" si="14"/>
        <v/>
      </c>
      <c r="AJ106" s="50">
        <f t="shared" si="13"/>
        <v>0</v>
      </c>
    </row>
    <row r="107" spans="4:36" x14ac:dyDescent="0.25">
      <c r="F107" s="49"/>
      <c r="I107" s="21">
        <f>IF(J106&lt;&gt;"",EXP(-$C$3*$H$3)*($H$6*J106+(1-$H$6)*J108),"")</f>
        <v>2.1727016695376582</v>
      </c>
      <c r="J107" s="21" t="str">
        <f t="shared" ref="J107:J114" si="39">IF(K106&lt;&gt;"",EXP(-$C$3*$H$3)*($H$6*K106+(1-$H$6)*K108),"")</f>
        <v/>
      </c>
      <c r="K107" s="21">
        <f t="shared" si="38"/>
        <v>2.1884386647935079</v>
      </c>
      <c r="L107" s="21" t="str">
        <f t="shared" si="37"/>
        <v/>
      </c>
      <c r="M107" s="21">
        <f t="shared" si="36"/>
        <v>2.2004555751105888</v>
      </c>
      <c r="N107" s="21" t="str">
        <f t="shared" si="35"/>
        <v/>
      </c>
      <c r="O107" s="21">
        <f t="shared" si="34"/>
        <v>2.2074278195702517</v>
      </c>
      <c r="P107" s="21" t="str">
        <f t="shared" si="33"/>
        <v/>
      </c>
      <c r="Q107" s="21">
        <f t="shared" si="32"/>
        <v>2.2075785701308992</v>
      </c>
      <c r="R107" s="21" t="str">
        <f t="shared" si="31"/>
        <v/>
      </c>
      <c r="S107" s="21">
        <f t="shared" si="30"/>
        <v>2.1985076491849807</v>
      </c>
      <c r="T107" s="21" t="str">
        <f t="shared" si="29"/>
        <v/>
      </c>
      <c r="U107" s="21">
        <f t="shared" si="28"/>
        <v>2.1769511969238926</v>
      </c>
      <c r="V107" s="21" t="str">
        <f t="shared" si="27"/>
        <v/>
      </c>
      <c r="W107" s="21">
        <f t="shared" si="26"/>
        <v>2.1384446875819294</v>
      </c>
      <c r="X107" s="21" t="str">
        <f t="shared" si="25"/>
        <v/>
      </c>
      <c r="Y107" s="21">
        <f t="shared" si="24"/>
        <v>2.0768464993413756</v>
      </c>
      <c r="Z107" s="21" t="str">
        <f t="shared" si="23"/>
        <v/>
      </c>
      <c r="AA107" s="21">
        <f t="shared" si="22"/>
        <v>1.9836053721391425</v>
      </c>
      <c r="AB107" s="21" t="str">
        <f t="shared" si="21"/>
        <v/>
      </c>
      <c r="AC107" s="21">
        <f t="shared" si="20"/>
        <v>1.8461427020081909</v>
      </c>
      <c r="AD107" s="21" t="str">
        <f t="shared" si="19"/>
        <v/>
      </c>
      <c r="AE107" s="21">
        <f t="shared" si="18"/>
        <v>1.6407601305274804</v>
      </c>
      <c r="AF107" s="21" t="str">
        <f t="shared" si="17"/>
        <v/>
      </c>
      <c r="AG107" s="21">
        <f t="shared" si="16"/>
        <v>1.2793921495989331</v>
      </c>
      <c r="AH107" s="21" t="str">
        <f t="shared" si="15"/>
        <v/>
      </c>
      <c r="AI107" s="21">
        <f t="shared" si="14"/>
        <v>0</v>
      </c>
      <c r="AJ107" s="50" t="str">
        <f t="shared" si="13"/>
        <v/>
      </c>
    </row>
    <row r="108" spans="4:36" x14ac:dyDescent="0.25">
      <c r="F108" s="49"/>
      <c r="H108" s="21">
        <f>IF(I107&lt;&gt;"",EXP(-$C$3*$H$3)*($H$6*I107+(1-$H$6)*I109),"")</f>
        <v>2.4733288960692099</v>
      </c>
      <c r="I108" s="21" t="str">
        <f t="shared" ref="I108:I113" si="40">IF(J107&lt;&gt;"",EXP(-$C$3*$H$3)*($H$6*J107+(1-$H$6)*J109),"")</f>
        <v/>
      </c>
      <c r="J108" s="21">
        <f t="shared" si="39"/>
        <v>2.516151237834495</v>
      </c>
      <c r="K108" s="21" t="str">
        <f t="shared" si="38"/>
        <v/>
      </c>
      <c r="L108" s="21">
        <f t="shared" si="37"/>
        <v>2.5590982635010593</v>
      </c>
      <c r="M108" s="21" t="str">
        <f t="shared" si="36"/>
        <v/>
      </c>
      <c r="N108" s="21">
        <f t="shared" si="35"/>
        <v>2.6016042256667173</v>
      </c>
      <c r="O108" s="21" t="str">
        <f t="shared" si="34"/>
        <v/>
      </c>
      <c r="P108" s="21">
        <f t="shared" si="33"/>
        <v>2.6428385680685911</v>
      </c>
      <c r="Q108" s="21" t="str">
        <f t="shared" si="32"/>
        <v/>
      </c>
      <c r="R108" s="21">
        <f t="shared" si="31"/>
        <v>2.6815873075359322</v>
      </c>
      <c r="S108" s="21" t="str">
        <f t="shared" si="30"/>
        <v/>
      </c>
      <c r="T108" s="21">
        <f t="shared" si="29"/>
        <v>2.7160810370083213</v>
      </c>
      <c r="U108" s="21" t="str">
        <f t="shared" si="28"/>
        <v/>
      </c>
      <c r="V108" s="21">
        <f t="shared" si="27"/>
        <v>2.743752453248931</v>
      </c>
      <c r="W108" s="21" t="str">
        <f t="shared" si="26"/>
        <v/>
      </c>
      <c r="X108" s="21">
        <f t="shared" si="25"/>
        <v>2.7609218741551684</v>
      </c>
      <c r="Y108" s="21" t="str">
        <f t="shared" si="24"/>
        <v/>
      </c>
      <c r="Z108" s="21">
        <f t="shared" si="23"/>
        <v>2.762492552900575</v>
      </c>
      <c r="AA108" s="21" t="str">
        <f t="shared" si="22"/>
        <v/>
      </c>
      <c r="AB108" s="21">
        <f t="shared" si="21"/>
        <v>2.7420732083784727</v>
      </c>
      <c r="AC108" s="21" t="str">
        <f t="shared" si="20"/>
        <v/>
      </c>
      <c r="AD108" s="21">
        <f t="shared" si="19"/>
        <v>2.6941581169394428</v>
      </c>
      <c r="AE108" s="21" t="str">
        <f t="shared" si="18"/>
        <v/>
      </c>
      <c r="AF108" s="21">
        <f t="shared" si="17"/>
        <v>2.6231796955227127</v>
      </c>
      <c r="AG108" s="21" t="str">
        <f t="shared" si="16"/>
        <v/>
      </c>
      <c r="AH108" s="21">
        <f t="shared" si="15"/>
        <v>2.5390375341895153</v>
      </c>
      <c r="AI108" s="21" t="str">
        <f t="shared" si="14"/>
        <v/>
      </c>
      <c r="AJ108" s="50">
        <f t="shared" si="13"/>
        <v>0</v>
      </c>
    </row>
    <row r="109" spans="4:36" x14ac:dyDescent="0.25">
      <c r="F109" s="49"/>
      <c r="G109" s="21">
        <f>IF(H108&lt;&gt;"",EXP(-$C$3*$H$3)*($H$6*H108+(1-$H$6)*H110),"")</f>
        <v>2.7092125796916662</v>
      </c>
      <c r="H109" s="21" t="str">
        <f t="shared" ref="H109:H112" si="41">IF(I108&lt;&gt;"",EXP(-$C$3*$H$3)*($H$6*I108+(1-$H$6)*I110),"")</f>
        <v/>
      </c>
      <c r="I109" s="21">
        <f t="shared" si="40"/>
        <v>2.7750614220840584</v>
      </c>
      <c r="J109" s="21" t="str">
        <f t="shared" si="39"/>
        <v/>
      </c>
      <c r="K109" s="21">
        <f t="shared" si="38"/>
        <v>2.8445926755713189</v>
      </c>
      <c r="L109" s="21" t="str">
        <f t="shared" si="37"/>
        <v/>
      </c>
      <c r="M109" s="21">
        <f t="shared" si="36"/>
        <v>2.91802420264453</v>
      </c>
      <c r="N109" s="21" t="str">
        <f t="shared" si="35"/>
        <v/>
      </c>
      <c r="O109" s="21">
        <f t="shared" si="34"/>
        <v>2.9955338745886375</v>
      </c>
      <c r="P109" s="21" t="str">
        <f t="shared" si="33"/>
        <v/>
      </c>
      <c r="Q109" s="21">
        <f t="shared" si="32"/>
        <v>3.0772181031882555</v>
      </c>
      <c r="R109" s="21" t="str">
        <f t="shared" si="31"/>
        <v/>
      </c>
      <c r="S109" s="21">
        <f t="shared" si="30"/>
        <v>3.1630244445561484</v>
      </c>
      <c r="T109" s="21" t="str">
        <f t="shared" si="29"/>
        <v/>
      </c>
      <c r="U109" s="21">
        <f t="shared" si="28"/>
        <v>3.2526462475614064</v>
      </c>
      <c r="V109" s="21" t="str">
        <f t="shared" si="27"/>
        <v/>
      </c>
      <c r="W109" s="21">
        <f t="shared" si="26"/>
        <v>3.3453723431814679</v>
      </c>
      <c r="X109" s="21" t="str">
        <f t="shared" si="25"/>
        <v/>
      </c>
      <c r="Y109" s="21">
        <f t="shared" si="24"/>
        <v>3.4399307498071678</v>
      </c>
      <c r="Z109" s="21" t="str">
        <f t="shared" si="23"/>
        <v/>
      </c>
      <c r="AA109" s="21">
        <f t="shared" si="22"/>
        <v>3.5346033028967296</v>
      </c>
      <c r="AB109" s="21" t="str">
        <f t="shared" si="21"/>
        <v/>
      </c>
      <c r="AC109" s="21">
        <f t="shared" si="20"/>
        <v>3.629057284127351</v>
      </c>
      <c r="AD109" s="21" t="str">
        <f t="shared" si="19"/>
        <v/>
      </c>
      <c r="AE109" s="21">
        <f t="shared" si="18"/>
        <v>3.73563614444683</v>
      </c>
      <c r="AF109" s="21" t="str">
        <f t="shared" si="17"/>
        <v/>
      </c>
      <c r="AG109" s="21">
        <f t="shared" si="16"/>
        <v>3.9496096938135747</v>
      </c>
      <c r="AH109" s="21" t="str">
        <f t="shared" si="15"/>
        <v/>
      </c>
      <c r="AI109" s="21">
        <f t="shared" si="14"/>
        <v>5.0388863196042788</v>
      </c>
      <c r="AJ109" s="50" t="str">
        <f t="shared" si="13"/>
        <v/>
      </c>
    </row>
    <row r="110" spans="4:36" x14ac:dyDescent="0.25">
      <c r="D110" s="21" t="s">
        <v>56</v>
      </c>
      <c r="F110" s="57">
        <f>IF(G109&lt;&gt;"",EXP(-$C$3*$H$3)*($H$6*G109+(1-$H$6)*G111),"")</f>
        <v>2.8657106429584016</v>
      </c>
      <c r="G110" s="21" t="str">
        <f t="shared" ref="G110:G111" si="42">IF(H109&lt;&gt;"",EXP(-$C$3*$H$3)*($H$6*H109+(1-$H$6)*H111),"")</f>
        <v/>
      </c>
      <c r="H110" s="21">
        <f t="shared" si="41"/>
        <v>2.9479958021582591</v>
      </c>
      <c r="I110" s="21" t="str">
        <f t="shared" si="40"/>
        <v/>
      </c>
      <c r="J110" s="21">
        <f t="shared" si="39"/>
        <v>3.036628979039218</v>
      </c>
      <c r="K110" s="21" t="str">
        <f t="shared" si="38"/>
        <v/>
      </c>
      <c r="L110" s="21">
        <f t="shared" si="37"/>
        <v>3.1324477122094048</v>
      </c>
      <c r="M110" s="21" t="str">
        <f t="shared" si="36"/>
        <v/>
      </c>
      <c r="N110" s="21">
        <f t="shared" si="35"/>
        <v>3.2364398834148349</v>
      </c>
      <c r="O110" s="21" t="str">
        <f t="shared" si="34"/>
        <v/>
      </c>
      <c r="P110" s="21">
        <f t="shared" si="33"/>
        <v>3.3497740306637156</v>
      </c>
      <c r="Q110" s="21" t="str">
        <f t="shared" si="32"/>
        <v/>
      </c>
      <c r="R110" s="21">
        <f t="shared" si="31"/>
        <v>3.4738335252536059</v>
      </c>
      <c r="S110" s="21" t="str">
        <f t="shared" si="30"/>
        <v/>
      </c>
      <c r="T110" s="21">
        <f t="shared" si="29"/>
        <v>3.610251707134287</v>
      </c>
      <c r="U110" s="21" t="str">
        <f t="shared" si="28"/>
        <v/>
      </c>
      <c r="V110" s="21">
        <f t="shared" si="27"/>
        <v>3.7609408964872788</v>
      </c>
      <c r="W110" s="21" t="str">
        <f t="shared" si="26"/>
        <v/>
      </c>
      <c r="X110" s="21">
        <f t="shared" si="25"/>
        <v>3.9281028896134051</v>
      </c>
      <c r="Y110" s="21" t="str">
        <f t="shared" si="24"/>
        <v/>
      </c>
      <c r="Z110" s="21">
        <f t="shared" si="23"/>
        <v>4.1142179593709596</v>
      </c>
      <c r="AA110" s="21" t="str">
        <f t="shared" si="22"/>
        <v/>
      </c>
      <c r="AB110" s="21">
        <f t="shared" si="21"/>
        <v>4.3221520299949026</v>
      </c>
      <c r="AC110" s="21" t="str">
        <f t="shared" si="20"/>
        <v/>
      </c>
      <c r="AD110" s="21">
        <f t="shared" si="19"/>
        <v>4.5566509868738168</v>
      </c>
      <c r="AE110" s="21" t="str">
        <f t="shared" si="18"/>
        <v/>
      </c>
      <c r="AF110" s="21">
        <f t="shared" si="17"/>
        <v>4.8378589329376354</v>
      </c>
      <c r="AG110" s="21" t="str">
        <f t="shared" si="16"/>
        <v/>
      </c>
      <c r="AH110" s="21">
        <f t="shared" si="15"/>
        <v>5.3451244299830112</v>
      </c>
      <c r="AI110" s="21" t="str">
        <f t="shared" si="14"/>
        <v/>
      </c>
      <c r="AJ110" s="50">
        <f t="shared" si="13"/>
        <v>10</v>
      </c>
    </row>
    <row r="111" spans="4:36" x14ac:dyDescent="0.25">
      <c r="F111" s="49"/>
      <c r="G111" s="21">
        <f t="shared" si="42"/>
        <v>3.0269572745152002</v>
      </c>
      <c r="H111" s="21" t="str">
        <f t="shared" si="41"/>
        <v/>
      </c>
      <c r="I111" s="21">
        <f t="shared" si="40"/>
        <v>3.1255991900384581</v>
      </c>
      <c r="J111" s="21" t="str">
        <f t="shared" si="39"/>
        <v/>
      </c>
      <c r="K111" s="21">
        <f t="shared" si="38"/>
        <v>3.233223325039841</v>
      </c>
      <c r="L111" s="21" t="str">
        <f t="shared" si="37"/>
        <v/>
      </c>
      <c r="M111" s="21">
        <f t="shared" si="36"/>
        <v>3.3512779059588835</v>
      </c>
      <c r="N111" s="21" t="str">
        <f t="shared" si="35"/>
        <v/>
      </c>
      <c r="O111" s="21">
        <f t="shared" si="34"/>
        <v>3.4815487932538347</v>
      </c>
      <c r="P111" s="21" t="str">
        <f t="shared" si="33"/>
        <v/>
      </c>
      <c r="Q111" s="21">
        <f t="shared" si="32"/>
        <v>3.6262603583793003</v>
      </c>
      <c r="R111" s="21" t="str">
        <f t="shared" si="31"/>
        <v/>
      </c>
      <c r="S111" s="21">
        <f t="shared" si="30"/>
        <v>3.7882094880642581</v>
      </c>
      <c r="T111" s="21" t="str">
        <f t="shared" si="29"/>
        <v/>
      </c>
      <c r="U111" s="21">
        <f t="shared" si="28"/>
        <v>3.9709387596817809</v>
      </c>
      <c r="V111" s="21" t="str">
        <f t="shared" si="27"/>
        <v/>
      </c>
      <c r="W111" s="21">
        <f t="shared" si="26"/>
        <v>4.1789416098388985</v>
      </c>
      <c r="X111" s="21" t="str">
        <f t="shared" si="25"/>
        <v/>
      </c>
      <c r="Y111" s="21">
        <f t="shared" si="24"/>
        <v>4.4178366332253143</v>
      </c>
      <c r="Z111" s="21" t="str">
        <f t="shared" si="23"/>
        <v/>
      </c>
      <c r="AA111" s="21">
        <f t="shared" si="22"/>
        <v>4.6942331959765555</v>
      </c>
      <c r="AB111" s="21" t="str">
        <f t="shared" si="21"/>
        <v/>
      </c>
      <c r="AC111" s="21">
        <f t="shared" si="20"/>
        <v>5.014145615654531</v>
      </c>
      <c r="AD111" s="21" t="str">
        <f t="shared" si="19"/>
        <v/>
      </c>
      <c r="AE111" s="21">
        <f t="shared" si="18"/>
        <v>5.374872116720768</v>
      </c>
      <c r="AF111" s="21" t="str">
        <f t="shared" si="17"/>
        <v/>
      </c>
      <c r="AG111" s="21">
        <f t="shared" si="16"/>
        <v>5.7228425462830401</v>
      </c>
      <c r="AH111" s="21" t="str">
        <f t="shared" si="15"/>
        <v/>
      </c>
      <c r="AI111" s="21">
        <f t="shared" si="14"/>
        <v>5.6599603597823878</v>
      </c>
      <c r="AJ111" s="50" t="str">
        <f t="shared" si="13"/>
        <v/>
      </c>
    </row>
    <row r="112" spans="4:36" x14ac:dyDescent="0.25">
      <c r="F112" s="49"/>
      <c r="H112" s="21">
        <f t="shared" si="41"/>
        <v>3.1124954731024812</v>
      </c>
      <c r="I112" s="21" t="str">
        <f t="shared" si="40"/>
        <v/>
      </c>
      <c r="J112" s="21">
        <f t="shared" si="39"/>
        <v>3.2212260223373899</v>
      </c>
      <c r="K112" s="21" t="str">
        <f t="shared" si="38"/>
        <v/>
      </c>
      <c r="L112" s="21">
        <f t="shared" si="37"/>
        <v>3.340726724599234</v>
      </c>
      <c r="M112" s="21" t="str">
        <f t="shared" si="36"/>
        <v/>
      </c>
      <c r="N112" s="21">
        <f t="shared" si="35"/>
        <v>3.4729016581150982</v>
      </c>
      <c r="O112" s="21" t="str">
        <f t="shared" si="34"/>
        <v/>
      </c>
      <c r="P112" s="21">
        <f t="shared" si="33"/>
        <v>3.6201475677294361</v>
      </c>
      <c r="Q112" s="21" t="str">
        <f t="shared" si="32"/>
        <v/>
      </c>
      <c r="R112" s="21">
        <f t="shared" si="31"/>
        <v>3.7855205027276266</v>
      </c>
      <c r="S112" s="21" t="str">
        <f t="shared" si="30"/>
        <v/>
      </c>
      <c r="T112" s="21">
        <f t="shared" si="29"/>
        <v>3.9729672569471641</v>
      </c>
      <c r="U112" s="21" t="str">
        <f t="shared" si="28"/>
        <v/>
      </c>
      <c r="V112" s="21">
        <f t="shared" si="27"/>
        <v>4.1876405595590684</v>
      </c>
      <c r="W112" s="21" t="str">
        <f t="shared" si="26"/>
        <v/>
      </c>
      <c r="X112" s="21">
        <f t="shared" si="25"/>
        <v>4.4362959394407353</v>
      </c>
      <c r="Y112" s="21" t="str">
        <f t="shared" si="24"/>
        <v/>
      </c>
      <c r="Z112" s="21">
        <f t="shared" si="23"/>
        <v>4.7276484333623934</v>
      </c>
      <c r="AA112" s="21" t="str">
        <f t="shared" si="22"/>
        <v/>
      </c>
      <c r="AB112" s="21">
        <f t="shared" si="21"/>
        <v>5.0720006496769701</v>
      </c>
      <c r="AC112" s="21" t="str">
        <f t="shared" si="20"/>
        <v/>
      </c>
      <c r="AD112" s="21">
        <f t="shared" si="19"/>
        <v>5.4766283101753093</v>
      </c>
      <c r="AE112" s="21" t="str">
        <f t="shared" si="18"/>
        <v/>
      </c>
      <c r="AF112" s="21">
        <f t="shared" si="17"/>
        <v>5.9163896428636873</v>
      </c>
      <c r="AG112" s="21" t="str">
        <f t="shared" si="16"/>
        <v/>
      </c>
      <c r="AH112" s="21">
        <f t="shared" si="15"/>
        <v>6.1088650173928052</v>
      </c>
      <c r="AI112" s="21" t="str">
        <f t="shared" si="14"/>
        <v/>
      </c>
      <c r="AJ112" s="50">
        <f t="shared" si="13"/>
        <v>1.4133502575948995</v>
      </c>
    </row>
    <row r="113" spans="6:36" x14ac:dyDescent="0.25">
      <c r="F113" s="49"/>
      <c r="I113" s="21">
        <f t="shared" si="40"/>
        <v>3.1078591025304725</v>
      </c>
      <c r="J113" s="21" t="str">
        <f t="shared" si="39"/>
        <v/>
      </c>
      <c r="K113" s="21">
        <f t="shared" si="38"/>
        <v>3.2179635821507415</v>
      </c>
      <c r="L113" s="21" t="str">
        <f t="shared" si="37"/>
        <v/>
      </c>
      <c r="M113" s="21">
        <f t="shared" si="36"/>
        <v>3.3392002601805553</v>
      </c>
      <c r="N113" s="21" t="str">
        <f t="shared" si="35"/>
        <v/>
      </c>
      <c r="O113" s="21">
        <f t="shared" si="34"/>
        <v>3.4735943303786945</v>
      </c>
      <c r="P113" s="21" t="str">
        <f t="shared" si="33"/>
        <v/>
      </c>
      <c r="Q113" s="21">
        <f t="shared" si="32"/>
        <v>3.6237181324431265</v>
      </c>
      <c r="R113" s="21" t="str">
        <f t="shared" si="31"/>
        <v/>
      </c>
      <c r="S113" s="21">
        <f t="shared" si="30"/>
        <v>3.7928902740487187</v>
      </c>
      <c r="T113" s="21" t="str">
        <f t="shared" si="29"/>
        <v/>
      </c>
      <c r="U113" s="21">
        <f t="shared" si="28"/>
        <v>3.9854648943451414</v>
      </c>
      <c r="V113" s="21" t="str">
        <f t="shared" si="27"/>
        <v/>
      </c>
      <c r="W113" s="21">
        <f t="shared" si="26"/>
        <v>4.2072557213256756</v>
      </c>
      <c r="X113" s="21" t="str">
        <f t="shared" si="25"/>
        <v/>
      </c>
      <c r="Y113" s="21">
        <f t="shared" si="24"/>
        <v>4.4661525274415466</v>
      </c>
      <c r="Z113" s="21" t="str">
        <f t="shared" si="23"/>
        <v/>
      </c>
      <c r="AA113" s="21">
        <f t="shared" si="22"/>
        <v>4.7729609974518485</v>
      </c>
      <c r="AB113" s="21" t="str">
        <f t="shared" si="21"/>
        <v/>
      </c>
      <c r="AC113" s="21">
        <f t="shared" si="20"/>
        <v>5.1422217467250153</v>
      </c>
      <c r="AD113" s="21" t="str">
        <f t="shared" si="19"/>
        <v/>
      </c>
      <c r="AE113" s="21">
        <f t="shared" si="18"/>
        <v>5.5910268524309359</v>
      </c>
      <c r="AF113" s="21" t="str">
        <f t="shared" si="17"/>
        <v/>
      </c>
      <c r="AG113" s="21">
        <f t="shared" si="16"/>
        <v>6.1220824890761802</v>
      </c>
      <c r="AH113" s="21" t="str">
        <f t="shared" si="15"/>
        <v/>
      </c>
      <c r="AI113" s="21">
        <f t="shared" si="14"/>
        <v>6.5658078300994402</v>
      </c>
      <c r="AJ113" s="50" t="str">
        <f t="shared" si="13"/>
        <v/>
      </c>
    </row>
    <row r="114" spans="6:36" x14ac:dyDescent="0.25">
      <c r="F114" s="49"/>
      <c r="J114" s="21">
        <f t="shared" si="39"/>
        <v>3.0047599087983157</v>
      </c>
      <c r="K114" s="21" t="str">
        <f t="shared" si="38"/>
        <v/>
      </c>
      <c r="L114" s="21">
        <f t="shared" si="37"/>
        <v>3.1059291902626569</v>
      </c>
      <c r="M114" s="21" t="str">
        <f t="shared" si="36"/>
        <v/>
      </c>
      <c r="N114" s="21">
        <f t="shared" si="35"/>
        <v>3.2167459525569924</v>
      </c>
      <c r="O114" s="21" t="str">
        <f t="shared" si="34"/>
        <v/>
      </c>
      <c r="P114" s="21">
        <f t="shared" si="33"/>
        <v>3.3388759108259389</v>
      </c>
      <c r="Q114" s="21" t="str">
        <f t="shared" si="32"/>
        <v/>
      </c>
      <c r="R114" s="21">
        <f t="shared" si="31"/>
        <v>3.4744232421754089</v>
      </c>
      <c r="S114" s="21" t="str">
        <f t="shared" si="30"/>
        <v/>
      </c>
      <c r="T114" s="21">
        <f t="shared" si="29"/>
        <v>3.6260985004524788</v>
      </c>
      <c r="U114" s="21" t="str">
        <f t="shared" si="28"/>
        <v/>
      </c>
      <c r="V114" s="21">
        <f t="shared" si="27"/>
        <v>3.7974831861007474</v>
      </c>
      <c r="W114" s="21" t="str">
        <f t="shared" si="26"/>
        <v/>
      </c>
      <c r="X114" s="21">
        <f t="shared" si="25"/>
        <v>3.9934816262531001</v>
      </c>
      <c r="Y114" s="21" t="str">
        <f t="shared" si="24"/>
        <v/>
      </c>
      <c r="Z114" s="21">
        <f t="shared" si="23"/>
        <v>4.22119411195695</v>
      </c>
      <c r="AA114" s="21" t="str">
        <f t="shared" si="22"/>
        <v/>
      </c>
      <c r="AB114" s="21">
        <f t="shared" si="21"/>
        <v>4.4919488830852039</v>
      </c>
      <c r="AC114" s="21" t="str">
        <f t="shared" si="20"/>
        <v/>
      </c>
      <c r="AD114" s="21">
        <f t="shared" si="19"/>
        <v>4.8274585580247624</v>
      </c>
      <c r="AE114" s="21" t="str">
        <f t="shared" si="18"/>
        <v/>
      </c>
      <c r="AF114" s="21">
        <f t="shared" si="17"/>
        <v>5.2863307222045668</v>
      </c>
      <c r="AG114" s="21" t="str">
        <f t="shared" si="16"/>
        <v/>
      </c>
      <c r="AH114" s="21">
        <f t="shared" si="15"/>
        <v>6.1512497746498678</v>
      </c>
      <c r="AI114" s="21" t="str">
        <f t="shared" si="14"/>
        <v/>
      </c>
      <c r="AJ114" s="50">
        <f t="shared" si="13"/>
        <v>11.642477205166699</v>
      </c>
    </row>
    <row r="115" spans="6:36" x14ac:dyDescent="0.25">
      <c r="F115" s="49"/>
      <c r="K115" s="21">
        <f t="shared" si="38"/>
        <v>2.803356263919953</v>
      </c>
      <c r="L115" s="21" t="str">
        <f t="shared" si="37"/>
        <v/>
      </c>
      <c r="M115" s="21">
        <f t="shared" si="36"/>
        <v>2.8850884679114395</v>
      </c>
      <c r="N115" s="21" t="str">
        <f t="shared" si="35"/>
        <v/>
      </c>
      <c r="O115" s="21">
        <f t="shared" si="34"/>
        <v>2.9730472074939769</v>
      </c>
      <c r="P115" s="21" t="str">
        <f t="shared" si="33"/>
        <v/>
      </c>
      <c r="Q115" s="21">
        <f t="shared" si="32"/>
        <v>3.0680123686459857</v>
      </c>
      <c r="R115" s="21" t="str">
        <f t="shared" si="31"/>
        <v/>
      </c>
      <c r="S115" s="21">
        <f t="shared" si="30"/>
        <v>3.1709012174947437</v>
      </c>
      <c r="T115" s="21" t="str">
        <f t="shared" si="29"/>
        <v/>
      </c>
      <c r="U115" s="21">
        <f t="shared" si="28"/>
        <v>3.2828176042401935</v>
      </c>
      <c r="V115" s="21" t="str">
        <f t="shared" si="27"/>
        <v/>
      </c>
      <c r="W115" s="21">
        <f t="shared" si="26"/>
        <v>3.4051606284503522</v>
      </c>
      <c r="X115" s="21" t="str">
        <f t="shared" si="25"/>
        <v/>
      </c>
      <c r="Y115" s="21">
        <f t="shared" si="24"/>
        <v>3.5399161138801256</v>
      </c>
      <c r="Z115" s="21" t="str">
        <f t="shared" si="23"/>
        <v/>
      </c>
      <c r="AA115" s="21">
        <f t="shared" si="22"/>
        <v>3.6905647224588063</v>
      </c>
      <c r="AB115" s="21" t="str">
        <f t="shared" si="21"/>
        <v/>
      </c>
      <c r="AC115" s="21">
        <f t="shared" si="20"/>
        <v>3.8653103500396506</v>
      </c>
      <c r="AD115" s="21" t="str">
        <f t="shared" si="19"/>
        <v/>
      </c>
      <c r="AE115" s="21">
        <f t="shared" si="18"/>
        <v>4.0904600375216695</v>
      </c>
      <c r="AF115" s="21" t="str">
        <f t="shared" si="17"/>
        <v/>
      </c>
      <c r="AG115" s="21">
        <f t="shared" si="16"/>
        <v>4.4796671275051487</v>
      </c>
      <c r="AH115" s="21" t="str">
        <f t="shared" si="15"/>
        <v/>
      </c>
      <c r="AI115" s="21">
        <f t="shared" si="14"/>
        <v>5.7604523349552252</v>
      </c>
      <c r="AJ115" s="50" t="str">
        <f t="shared" si="13"/>
        <v/>
      </c>
    </row>
    <row r="116" spans="6:36" x14ac:dyDescent="0.25">
      <c r="F116" s="49"/>
      <c r="L116" s="21">
        <f t="shared" si="37"/>
        <v>2.5136664796303738</v>
      </c>
      <c r="M116" s="21" t="str">
        <f t="shared" si="36"/>
        <v/>
      </c>
      <c r="N116" s="21">
        <f t="shared" si="35"/>
        <v>2.5670560660679502</v>
      </c>
      <c r="O116" s="21" t="str">
        <f t="shared" si="34"/>
        <v/>
      </c>
      <c r="P116" s="21">
        <f t="shared" si="33"/>
        <v>2.6216939534769774</v>
      </c>
      <c r="Q116" s="21" t="str">
        <f t="shared" si="32"/>
        <v/>
      </c>
      <c r="R116" s="21">
        <f t="shared" si="31"/>
        <v>2.6770617405923836</v>
      </c>
      <c r="S116" s="21" t="str">
        <f t="shared" si="30"/>
        <v/>
      </c>
      <c r="T116" s="21">
        <f t="shared" si="29"/>
        <v>2.7323182518853462</v>
      </c>
      <c r="U116" s="21" t="str">
        <f t="shared" si="28"/>
        <v/>
      </c>
      <c r="V116" s="21">
        <f t="shared" si="27"/>
        <v>2.7861373992272638</v>
      </c>
      <c r="W116" s="21" t="str">
        <f t="shared" si="26"/>
        <v/>
      </c>
      <c r="X116" s="21">
        <f t="shared" si="25"/>
        <v>2.8364801246504707</v>
      </c>
      <c r="Y116" s="21" t="str">
        <f t="shared" si="24"/>
        <v/>
      </c>
      <c r="Z116" s="21">
        <f t="shared" si="23"/>
        <v>2.8803154992808642</v>
      </c>
      <c r="AA116" s="21" t="str">
        <f t="shared" si="22"/>
        <v/>
      </c>
      <c r="AB116" s="21">
        <f t="shared" si="21"/>
        <v>2.9134276860027861</v>
      </c>
      <c r="AC116" s="21" t="str">
        <f t="shared" si="20"/>
        <v/>
      </c>
      <c r="AD116" s="21">
        <f t="shared" si="19"/>
        <v>2.9307777735746923</v>
      </c>
      <c r="AE116" s="21" t="str">
        <f t="shared" si="18"/>
        <v/>
      </c>
      <c r="AF116" s="21">
        <f t="shared" si="17"/>
        <v>2.9270257782378373</v>
      </c>
      <c r="AG116" s="21" t="str">
        <f t="shared" si="16"/>
        <v/>
      </c>
      <c r="AH116" s="21">
        <f t="shared" si="15"/>
        <v>2.8501504034352103</v>
      </c>
      <c r="AI116" s="21" t="str">
        <f t="shared" si="14"/>
        <v/>
      </c>
      <c r="AJ116" s="50">
        <f t="shared" si="13"/>
        <v>0</v>
      </c>
    </row>
    <row r="117" spans="6:36" x14ac:dyDescent="0.25">
      <c r="F117" s="49"/>
      <c r="M117" s="21">
        <f t="shared" si="36"/>
        <v>2.1556063091043218</v>
      </c>
      <c r="N117" s="21" t="str">
        <f t="shared" si="35"/>
        <v/>
      </c>
      <c r="O117" s="21">
        <f t="shared" si="34"/>
        <v>2.1751928910489937</v>
      </c>
      <c r="P117" s="21" t="str">
        <f t="shared" si="33"/>
        <v/>
      </c>
      <c r="Q117" s="21">
        <f t="shared" si="32"/>
        <v>2.1903770542696175</v>
      </c>
      <c r="R117" s="21" t="str">
        <f t="shared" si="31"/>
        <v/>
      </c>
      <c r="S117" s="21">
        <f t="shared" si="30"/>
        <v>2.1992293144513071</v>
      </c>
      <c r="T117" s="21" t="str">
        <f t="shared" si="29"/>
        <v/>
      </c>
      <c r="U117" s="21">
        <f t="shared" si="28"/>
        <v>2.198996409753792</v>
      </c>
      <c r="V117" s="21" t="str">
        <f t="shared" si="27"/>
        <v/>
      </c>
      <c r="W117" s="21">
        <f t="shared" si="26"/>
        <v>2.1856728259060669</v>
      </c>
      <c r="X117" s="21" t="str">
        <f t="shared" si="25"/>
        <v/>
      </c>
      <c r="Y117" s="21">
        <f t="shared" si="24"/>
        <v>2.1532619963751101</v>
      </c>
      <c r="Z117" s="21" t="str">
        <f t="shared" si="23"/>
        <v/>
      </c>
      <c r="AA117" s="21">
        <f t="shared" si="22"/>
        <v>2.0923311085630085</v>
      </c>
      <c r="AB117" s="21" t="str">
        <f t="shared" si="21"/>
        <v/>
      </c>
      <c r="AC117" s="21">
        <f t="shared" si="20"/>
        <v>1.9864579783855831</v>
      </c>
      <c r="AD117" s="21" t="str">
        <f t="shared" si="19"/>
        <v/>
      </c>
      <c r="AE117" s="21">
        <f t="shared" si="18"/>
        <v>1.7998111155790142</v>
      </c>
      <c r="AF117" s="21" t="str">
        <f t="shared" si="17"/>
        <v/>
      </c>
      <c r="AG117" s="21">
        <f t="shared" si="16"/>
        <v>1.4101943475702821</v>
      </c>
      <c r="AH117" s="21" t="str">
        <f t="shared" si="15"/>
        <v/>
      </c>
      <c r="AI117" s="21">
        <f t="shared" si="14"/>
        <v>0</v>
      </c>
      <c r="AJ117" s="50" t="str">
        <f t="shared" si="13"/>
        <v/>
      </c>
    </row>
    <row r="118" spans="6:36" x14ac:dyDescent="0.25">
      <c r="F118" s="49"/>
      <c r="N118" s="21">
        <f t="shared" si="35"/>
        <v>1.7572951973447697</v>
      </c>
      <c r="O118" s="21" t="str">
        <f t="shared" si="34"/>
        <v/>
      </c>
      <c r="P118" s="21">
        <f t="shared" si="33"/>
        <v>1.7425159531206513</v>
      </c>
      <c r="Q118" s="21" t="str">
        <f t="shared" si="32"/>
        <v/>
      </c>
      <c r="R118" s="21">
        <f t="shared" si="31"/>
        <v>1.718283116549586</v>
      </c>
      <c r="S118" s="21" t="str">
        <f t="shared" si="30"/>
        <v/>
      </c>
      <c r="T118" s="21">
        <f t="shared" si="29"/>
        <v>1.681593467680718</v>
      </c>
      <c r="U118" s="21" t="str">
        <f t="shared" si="28"/>
        <v/>
      </c>
      <c r="V118" s="21">
        <f t="shared" si="27"/>
        <v>1.6282850920533609</v>
      </c>
      <c r="W118" s="21" t="str">
        <f t="shared" si="26"/>
        <v/>
      </c>
      <c r="X118" s="21">
        <f t="shared" si="25"/>
        <v>1.5524109784127396</v>
      </c>
      <c r="Y118" s="21" t="str">
        <f t="shared" si="24"/>
        <v/>
      </c>
      <c r="Z118" s="21">
        <f t="shared" si="23"/>
        <v>1.4450466809127542</v>
      </c>
      <c r="AA118" s="21" t="str">
        <f t="shared" si="22"/>
        <v/>
      </c>
      <c r="AB118" s="21">
        <f t="shared" si="21"/>
        <v>1.2916117847882276</v>
      </c>
      <c r="AC118" s="21" t="str">
        <f t="shared" si="20"/>
        <v/>
      </c>
      <c r="AD118" s="21">
        <f t="shared" si="19"/>
        <v>1.0644632036059654</v>
      </c>
      <c r="AE118" s="21" t="str">
        <f t="shared" si="18"/>
        <v/>
      </c>
      <c r="AF118" s="21">
        <f t="shared" si="17"/>
        <v>0.69773444079382929</v>
      </c>
      <c r="AG118" s="21" t="str">
        <f t="shared" si="16"/>
        <v/>
      </c>
      <c r="AH118" s="21">
        <f t="shared" si="15"/>
        <v>0</v>
      </c>
      <c r="AI118" s="21" t="str">
        <f t="shared" si="14"/>
        <v/>
      </c>
      <c r="AJ118" s="50">
        <f t="shared" si="13"/>
        <v>0</v>
      </c>
    </row>
    <row r="119" spans="6:36" x14ac:dyDescent="0.25">
      <c r="F119" s="49"/>
      <c r="O119" s="21">
        <f t="shared" si="34"/>
        <v>1.3515994562312528</v>
      </c>
      <c r="P119" s="21" t="str">
        <f t="shared" si="33"/>
        <v/>
      </c>
      <c r="Q119" s="21">
        <f t="shared" si="32"/>
        <v>1.3073594263155441</v>
      </c>
      <c r="R119" s="21" t="str">
        <f t="shared" si="31"/>
        <v/>
      </c>
      <c r="S119" s="21">
        <f t="shared" si="30"/>
        <v>1.2505755528228462</v>
      </c>
      <c r="T119" s="21" t="str">
        <f t="shared" si="29"/>
        <v/>
      </c>
      <c r="U119" s="21">
        <f t="shared" si="28"/>
        <v>1.1779912351510486</v>
      </c>
      <c r="V119" s="21" t="str">
        <f t="shared" si="27"/>
        <v/>
      </c>
      <c r="W119" s="21">
        <f t="shared" si="26"/>
        <v>1.0852799807290971</v>
      </c>
      <c r="X119" s="21" t="str">
        <f t="shared" si="25"/>
        <v/>
      </c>
      <c r="Y119" s="21">
        <f t="shared" si="24"/>
        <v>0.96652771185479414</v>
      </c>
      <c r="Z119" s="21" t="str">
        <f t="shared" si="23"/>
        <v/>
      </c>
      <c r="AA119" s="21">
        <f t="shared" si="22"/>
        <v>0.8132855596390135</v>
      </c>
      <c r="AB119" s="21" t="str">
        <f t="shared" si="21"/>
        <v/>
      </c>
      <c r="AC119" s="21">
        <f t="shared" si="20"/>
        <v>0.61274302628921973</v>
      </c>
      <c r="AD119" s="21" t="str">
        <f t="shared" si="19"/>
        <v/>
      </c>
      <c r="AE119" s="21">
        <f t="shared" si="18"/>
        <v>0.34522429529566284</v>
      </c>
      <c r="AF119" s="21" t="str">
        <f t="shared" si="17"/>
        <v/>
      </c>
      <c r="AG119" s="21">
        <f t="shared" si="16"/>
        <v>0</v>
      </c>
      <c r="AH119" s="21" t="str">
        <f t="shared" si="15"/>
        <v/>
      </c>
      <c r="AI119" s="21">
        <f t="shared" si="14"/>
        <v>0</v>
      </c>
      <c r="AJ119" s="50" t="str">
        <f t="shared" si="13"/>
        <v/>
      </c>
    </row>
    <row r="120" spans="6:36" x14ac:dyDescent="0.25">
      <c r="F120" s="49"/>
      <c r="P120" s="21">
        <f t="shared" si="33"/>
        <v>0.97132433288450981</v>
      </c>
      <c r="Q120" s="21" t="str">
        <f t="shared" si="32"/>
        <v/>
      </c>
      <c r="R120" s="21">
        <f t="shared" si="31"/>
        <v>0.90732183097150143</v>
      </c>
      <c r="S120" s="21" t="str">
        <f t="shared" si="30"/>
        <v/>
      </c>
      <c r="T120" s="21">
        <f t="shared" si="29"/>
        <v>0.83065685763707642</v>
      </c>
      <c r="U120" s="21" t="str">
        <f t="shared" si="28"/>
        <v/>
      </c>
      <c r="V120" s="21">
        <f t="shared" si="27"/>
        <v>0.7389531476296417</v>
      </c>
      <c r="W120" s="21" t="str">
        <f t="shared" si="26"/>
        <v/>
      </c>
      <c r="X120" s="21">
        <f t="shared" si="25"/>
        <v>0.62946398935784309</v>
      </c>
      <c r="Y120" s="21" t="str">
        <f t="shared" si="24"/>
        <v/>
      </c>
      <c r="Z120" s="21">
        <f t="shared" si="23"/>
        <v>0.49921561064016451</v>
      </c>
      <c r="AA120" s="21" t="str">
        <f t="shared" si="22"/>
        <v/>
      </c>
      <c r="AB120" s="21">
        <f t="shared" si="21"/>
        <v>0.34575749583985704</v>
      </c>
      <c r="AC120" s="21" t="str">
        <f t="shared" si="20"/>
        <v/>
      </c>
      <c r="AD120" s="21">
        <f t="shared" si="19"/>
        <v>0.17080970508893509</v>
      </c>
      <c r="AE120" s="21" t="str">
        <f t="shared" si="18"/>
        <v/>
      </c>
      <c r="AF120" s="21">
        <f t="shared" si="17"/>
        <v>0</v>
      </c>
      <c r="AG120" s="21" t="str">
        <f t="shared" si="16"/>
        <v/>
      </c>
      <c r="AH120" s="21">
        <f t="shared" si="15"/>
        <v>0</v>
      </c>
      <c r="AI120" s="21" t="str">
        <f t="shared" si="14"/>
        <v/>
      </c>
      <c r="AJ120" s="50">
        <f t="shared" si="13"/>
        <v>0</v>
      </c>
    </row>
    <row r="121" spans="6:36" x14ac:dyDescent="0.25">
      <c r="F121" s="49"/>
      <c r="Q121" s="21">
        <f t="shared" si="32"/>
        <v>0.64393285165829806</v>
      </c>
      <c r="R121" s="21" t="str">
        <f t="shared" si="31"/>
        <v/>
      </c>
      <c r="S121" s="21">
        <f t="shared" si="30"/>
        <v>0.57267298220767116</v>
      </c>
      <c r="T121" s="21" t="str">
        <f t="shared" si="29"/>
        <v/>
      </c>
      <c r="U121" s="21">
        <f t="shared" si="28"/>
        <v>0.49179839959007321</v>
      </c>
      <c r="V121" s="21" t="str">
        <f t="shared" si="27"/>
        <v/>
      </c>
      <c r="W121" s="21">
        <f t="shared" si="26"/>
        <v>0.4008415244613614</v>
      </c>
      <c r="X121" s="21" t="str">
        <f t="shared" si="25"/>
        <v/>
      </c>
      <c r="Y121" s="21">
        <f t="shared" si="24"/>
        <v>0.30015848592324501</v>
      </c>
      <c r="Z121" s="21" t="str">
        <f t="shared" si="23"/>
        <v/>
      </c>
      <c r="AA121" s="21">
        <f t="shared" si="22"/>
        <v>0.19214376163046054</v>
      </c>
      <c r="AB121" s="21" t="str">
        <f t="shared" si="21"/>
        <v/>
      </c>
      <c r="AC121" s="21">
        <f t="shared" si="20"/>
        <v>8.4513041956046614E-2</v>
      </c>
      <c r="AD121" s="21" t="str">
        <f t="shared" si="19"/>
        <v/>
      </c>
      <c r="AE121" s="21">
        <f t="shared" si="18"/>
        <v>0</v>
      </c>
      <c r="AF121" s="21" t="str">
        <f t="shared" si="17"/>
        <v/>
      </c>
      <c r="AG121" s="21">
        <f t="shared" si="16"/>
        <v>0</v>
      </c>
      <c r="AH121" s="21" t="str">
        <f t="shared" si="15"/>
        <v/>
      </c>
      <c r="AI121" s="21">
        <f t="shared" si="14"/>
        <v>0</v>
      </c>
      <c r="AJ121" s="50" t="str">
        <f t="shared" si="13"/>
        <v/>
      </c>
    </row>
    <row r="122" spans="6:36" x14ac:dyDescent="0.25">
      <c r="F122" s="49"/>
      <c r="R122" s="21">
        <f t="shared" si="31"/>
        <v>0.38700839980351404</v>
      </c>
      <c r="S122" s="21" t="str">
        <f t="shared" si="30"/>
        <v/>
      </c>
      <c r="T122" s="21">
        <f t="shared" si="29"/>
        <v>0.3208674821817295</v>
      </c>
      <c r="U122" s="21" t="str">
        <f t="shared" si="28"/>
        <v/>
      </c>
      <c r="V122" s="21">
        <f t="shared" si="27"/>
        <v>0.25041239057044617</v>
      </c>
      <c r="W122" s="21" t="str">
        <f t="shared" si="26"/>
        <v/>
      </c>
      <c r="X122" s="21">
        <f t="shared" si="25"/>
        <v>0.17741223743386164</v>
      </c>
      <c r="Y122" s="21" t="str">
        <f t="shared" si="24"/>
        <v/>
      </c>
      <c r="Z122" s="21">
        <f t="shared" si="23"/>
        <v>0.10549379421234872</v>
      </c>
      <c r="AA122" s="21" t="str">
        <f t="shared" si="22"/>
        <v/>
      </c>
      <c r="AB122" s="21">
        <f t="shared" si="21"/>
        <v>4.1815271895385857E-2</v>
      </c>
      <c r="AC122" s="21" t="str">
        <f t="shared" si="20"/>
        <v/>
      </c>
      <c r="AD122" s="21">
        <f t="shared" si="19"/>
        <v>0</v>
      </c>
      <c r="AE122" s="21" t="str">
        <f t="shared" si="18"/>
        <v/>
      </c>
      <c r="AF122" s="21">
        <f t="shared" si="17"/>
        <v>0</v>
      </c>
      <c r="AG122" s="21" t="str">
        <f t="shared" si="16"/>
        <v/>
      </c>
      <c r="AH122" s="21">
        <f t="shared" si="15"/>
        <v>0</v>
      </c>
      <c r="AI122" s="21" t="str">
        <f t="shared" si="14"/>
        <v/>
      </c>
      <c r="AJ122" s="50">
        <f t="shared" si="13"/>
        <v>0</v>
      </c>
    </row>
    <row r="123" spans="6:36" x14ac:dyDescent="0.25">
      <c r="F123" s="49"/>
      <c r="S123" s="21">
        <f t="shared" si="30"/>
        <v>0.20572378844438297</v>
      </c>
      <c r="T123" s="21" t="str">
        <f t="shared" si="29"/>
        <v/>
      </c>
      <c r="U123" s="21">
        <f t="shared" si="28"/>
        <v>0.15387527061150647</v>
      </c>
      <c r="V123" s="21" t="str">
        <f t="shared" si="27"/>
        <v/>
      </c>
      <c r="W123" s="21">
        <f t="shared" si="26"/>
        <v>0.10336500849580298</v>
      </c>
      <c r="X123" s="21" t="str">
        <f t="shared" si="25"/>
        <v/>
      </c>
      <c r="Y123" s="21">
        <f t="shared" si="24"/>
        <v>5.7354230967501696E-2</v>
      </c>
      <c r="Z123" s="21" t="str">
        <f t="shared" si="23"/>
        <v/>
      </c>
      <c r="AA123" s="21">
        <f t="shared" si="22"/>
        <v>2.06893152017225E-2</v>
      </c>
      <c r="AB123" s="21" t="str">
        <f t="shared" si="21"/>
        <v/>
      </c>
      <c r="AC123" s="21">
        <f t="shared" si="20"/>
        <v>0</v>
      </c>
      <c r="AD123" s="21" t="str">
        <f t="shared" si="19"/>
        <v/>
      </c>
      <c r="AE123" s="21">
        <f t="shared" si="18"/>
        <v>0</v>
      </c>
      <c r="AF123" s="21" t="str">
        <f t="shared" si="17"/>
        <v/>
      </c>
      <c r="AG123" s="21">
        <f t="shared" si="16"/>
        <v>0</v>
      </c>
      <c r="AH123" s="21" t="str">
        <f t="shared" si="15"/>
        <v/>
      </c>
      <c r="AI123" s="21">
        <f t="shared" si="14"/>
        <v>0</v>
      </c>
      <c r="AJ123" s="50" t="str">
        <f t="shared" si="13"/>
        <v/>
      </c>
    </row>
    <row r="124" spans="6:36" x14ac:dyDescent="0.25">
      <c r="F124" s="49"/>
      <c r="T124" s="21">
        <f t="shared" si="29"/>
        <v>9.3205756474054838E-2</v>
      </c>
      <c r="U124" s="21" t="str">
        <f t="shared" si="28"/>
        <v/>
      </c>
      <c r="V124" s="21">
        <f t="shared" si="27"/>
        <v>5.9490323352696654E-2</v>
      </c>
      <c r="W124" s="21" t="str">
        <f t="shared" si="26"/>
        <v/>
      </c>
      <c r="X124" s="21">
        <f t="shared" si="25"/>
        <v>3.0929796203386265E-2</v>
      </c>
      <c r="Y124" s="21" t="str">
        <f t="shared" si="24"/>
        <v/>
      </c>
      <c r="Z124" s="21">
        <f t="shared" si="23"/>
        <v>1.0236637097257736E-2</v>
      </c>
      <c r="AA124" s="21" t="str">
        <f t="shared" si="22"/>
        <v/>
      </c>
      <c r="AB124" s="21">
        <f t="shared" si="21"/>
        <v>0</v>
      </c>
      <c r="AC124" s="21" t="str">
        <f t="shared" si="20"/>
        <v/>
      </c>
      <c r="AD124" s="21">
        <f t="shared" si="19"/>
        <v>0</v>
      </c>
      <c r="AE124" s="21" t="str">
        <f t="shared" si="18"/>
        <v/>
      </c>
      <c r="AF124" s="21">
        <f t="shared" si="17"/>
        <v>0</v>
      </c>
      <c r="AG124" s="21" t="str">
        <f t="shared" si="16"/>
        <v/>
      </c>
      <c r="AH124" s="21">
        <f t="shared" si="15"/>
        <v>0</v>
      </c>
      <c r="AI124" s="21" t="str">
        <f t="shared" si="14"/>
        <v/>
      </c>
      <c r="AJ124" s="50">
        <f t="shared" si="13"/>
        <v>0</v>
      </c>
    </row>
    <row r="125" spans="6:36" x14ac:dyDescent="0.25">
      <c r="F125" s="49"/>
      <c r="U125" s="21">
        <f t="shared" si="28"/>
        <v>3.3879541412427334E-2</v>
      </c>
      <c r="V125" s="21" t="str">
        <f t="shared" si="27"/>
        <v/>
      </c>
      <c r="W125" s="21">
        <f t="shared" si="26"/>
        <v>1.6566152167567724E-2</v>
      </c>
      <c r="X125" s="21" t="str">
        <f t="shared" si="25"/>
        <v/>
      </c>
      <c r="Y125" s="21">
        <f t="shared" si="24"/>
        <v>5.064872280172379E-3</v>
      </c>
      <c r="Z125" s="21" t="str">
        <f t="shared" si="23"/>
        <v/>
      </c>
      <c r="AA125" s="21">
        <f t="shared" si="22"/>
        <v>0</v>
      </c>
      <c r="AB125" s="21" t="str">
        <f t="shared" si="21"/>
        <v/>
      </c>
      <c r="AC125" s="21">
        <f t="shared" si="20"/>
        <v>0</v>
      </c>
      <c r="AD125" s="21" t="str">
        <f t="shared" si="19"/>
        <v/>
      </c>
      <c r="AE125" s="21">
        <f t="shared" si="18"/>
        <v>0</v>
      </c>
      <c r="AF125" s="21" t="str">
        <f t="shared" si="17"/>
        <v/>
      </c>
      <c r="AG125" s="21">
        <f t="shared" si="16"/>
        <v>0</v>
      </c>
      <c r="AH125" s="21" t="str">
        <f t="shared" si="15"/>
        <v/>
      </c>
      <c r="AI125" s="21">
        <f t="shared" si="14"/>
        <v>0</v>
      </c>
      <c r="AJ125" s="50" t="str">
        <f t="shared" si="13"/>
        <v/>
      </c>
    </row>
    <row r="126" spans="6:36" x14ac:dyDescent="0.25">
      <c r="F126" s="49"/>
      <c r="V126" s="21">
        <f t="shared" si="27"/>
        <v>8.8213605174121031E-3</v>
      </c>
      <c r="W126" s="21" t="str">
        <f t="shared" si="26"/>
        <v/>
      </c>
      <c r="X126" s="21">
        <f t="shared" si="25"/>
        <v>2.5059920529302187E-3</v>
      </c>
      <c r="Y126" s="21" t="str">
        <f t="shared" si="24"/>
        <v/>
      </c>
      <c r="Z126" s="21">
        <f t="shared" si="23"/>
        <v>0</v>
      </c>
      <c r="AA126" s="21" t="str">
        <f t="shared" si="22"/>
        <v/>
      </c>
      <c r="AB126" s="21">
        <f t="shared" si="21"/>
        <v>0</v>
      </c>
      <c r="AC126" s="21" t="str">
        <f t="shared" si="20"/>
        <v/>
      </c>
      <c r="AD126" s="21">
        <f t="shared" si="19"/>
        <v>0</v>
      </c>
      <c r="AE126" s="21" t="str">
        <f t="shared" si="18"/>
        <v/>
      </c>
      <c r="AF126" s="21">
        <f t="shared" si="17"/>
        <v>0</v>
      </c>
      <c r="AG126" s="21" t="str">
        <f t="shared" si="16"/>
        <v/>
      </c>
      <c r="AH126" s="21">
        <f t="shared" si="15"/>
        <v>0</v>
      </c>
      <c r="AI126" s="21" t="str">
        <f t="shared" si="14"/>
        <v/>
      </c>
      <c r="AJ126" s="50">
        <f t="shared" si="13"/>
        <v>0</v>
      </c>
    </row>
    <row r="127" spans="6:36" x14ac:dyDescent="0.25">
      <c r="F127" s="49"/>
      <c r="W127" s="21">
        <f t="shared" si="26"/>
        <v>1.2399120494970659E-3</v>
      </c>
      <c r="X127" s="21" t="str">
        <f t="shared" si="25"/>
        <v/>
      </c>
      <c r="Y127" s="21">
        <f t="shared" si="24"/>
        <v>0</v>
      </c>
      <c r="Z127" s="21" t="str">
        <f t="shared" si="23"/>
        <v/>
      </c>
      <c r="AA127" s="21">
        <f t="shared" si="22"/>
        <v>0</v>
      </c>
      <c r="AB127" s="21" t="str">
        <f t="shared" si="21"/>
        <v/>
      </c>
      <c r="AC127" s="21">
        <f t="shared" si="20"/>
        <v>0</v>
      </c>
      <c r="AD127" s="21" t="str">
        <f t="shared" si="19"/>
        <v/>
      </c>
      <c r="AE127" s="21">
        <f t="shared" si="18"/>
        <v>0</v>
      </c>
      <c r="AF127" s="21" t="str">
        <f t="shared" si="17"/>
        <v/>
      </c>
      <c r="AG127" s="21">
        <f t="shared" si="16"/>
        <v>0</v>
      </c>
      <c r="AH127" s="21" t="str">
        <f t="shared" si="15"/>
        <v/>
      </c>
      <c r="AI127" s="21">
        <f t="shared" si="14"/>
        <v>0</v>
      </c>
      <c r="AJ127" s="50" t="str">
        <f t="shared" si="13"/>
        <v/>
      </c>
    </row>
    <row r="128" spans="6:36" x14ac:dyDescent="0.25">
      <c r="F128" s="49"/>
      <c r="X128" s="21">
        <f t="shared" si="25"/>
        <v>0</v>
      </c>
      <c r="Y128" s="21" t="str">
        <f t="shared" si="24"/>
        <v/>
      </c>
      <c r="Z128" s="21">
        <f t="shared" si="23"/>
        <v>0</v>
      </c>
      <c r="AA128" s="21" t="str">
        <f t="shared" si="22"/>
        <v/>
      </c>
      <c r="AB128" s="21">
        <f t="shared" si="21"/>
        <v>0</v>
      </c>
      <c r="AC128" s="21" t="str">
        <f t="shared" si="20"/>
        <v/>
      </c>
      <c r="AD128" s="21">
        <f t="shared" si="19"/>
        <v>0</v>
      </c>
      <c r="AE128" s="21" t="str">
        <f t="shared" si="18"/>
        <v/>
      </c>
      <c r="AF128" s="21">
        <f t="shared" si="17"/>
        <v>0</v>
      </c>
      <c r="AG128" s="21" t="str">
        <f t="shared" si="16"/>
        <v/>
      </c>
      <c r="AH128" s="21">
        <f t="shared" si="15"/>
        <v>0</v>
      </c>
      <c r="AI128" s="21" t="str">
        <f t="shared" si="14"/>
        <v/>
      </c>
      <c r="AJ128" s="50">
        <f t="shared" si="13"/>
        <v>0</v>
      </c>
    </row>
    <row r="129" spans="6:36" x14ac:dyDescent="0.25">
      <c r="F129" s="49"/>
      <c r="Y129" s="21">
        <f t="shared" si="24"/>
        <v>0</v>
      </c>
      <c r="Z129" s="21" t="str">
        <f t="shared" si="23"/>
        <v/>
      </c>
      <c r="AA129" s="21">
        <f t="shared" si="22"/>
        <v>0</v>
      </c>
      <c r="AB129" s="21" t="str">
        <f t="shared" si="21"/>
        <v/>
      </c>
      <c r="AC129" s="21">
        <f t="shared" si="20"/>
        <v>0</v>
      </c>
      <c r="AD129" s="21" t="str">
        <f t="shared" si="19"/>
        <v/>
      </c>
      <c r="AE129" s="21">
        <f t="shared" si="18"/>
        <v>0</v>
      </c>
      <c r="AF129" s="21" t="str">
        <f t="shared" si="17"/>
        <v/>
      </c>
      <c r="AG129" s="21">
        <f t="shared" si="16"/>
        <v>0</v>
      </c>
      <c r="AH129" s="21" t="str">
        <f t="shared" si="15"/>
        <v/>
      </c>
      <c r="AI129" s="21">
        <f t="shared" si="14"/>
        <v>0</v>
      </c>
      <c r="AJ129" s="50" t="str">
        <f t="shared" si="13"/>
        <v/>
      </c>
    </row>
    <row r="130" spans="6:36" x14ac:dyDescent="0.25">
      <c r="F130" s="49"/>
      <c r="Z130" s="21">
        <f t="shared" si="23"/>
        <v>0</v>
      </c>
      <c r="AA130" s="21" t="str">
        <f t="shared" si="22"/>
        <v/>
      </c>
      <c r="AB130" s="21">
        <f t="shared" si="21"/>
        <v>0</v>
      </c>
      <c r="AC130" s="21" t="str">
        <f t="shared" si="20"/>
        <v/>
      </c>
      <c r="AD130" s="21">
        <f t="shared" si="19"/>
        <v>0</v>
      </c>
      <c r="AE130" s="21" t="str">
        <f t="shared" si="18"/>
        <v/>
      </c>
      <c r="AF130" s="21">
        <f t="shared" si="17"/>
        <v>0</v>
      </c>
      <c r="AG130" s="21" t="str">
        <f t="shared" si="16"/>
        <v/>
      </c>
      <c r="AH130" s="21">
        <f t="shared" si="15"/>
        <v>0</v>
      </c>
      <c r="AI130" s="21" t="str">
        <f t="shared" si="14"/>
        <v/>
      </c>
      <c r="AJ130" s="50">
        <f t="shared" si="13"/>
        <v>0</v>
      </c>
    </row>
    <row r="131" spans="6:36" x14ac:dyDescent="0.25">
      <c r="F131" s="49"/>
      <c r="AA131" s="21">
        <f t="shared" si="22"/>
        <v>0</v>
      </c>
      <c r="AB131" s="21" t="str">
        <f t="shared" si="21"/>
        <v/>
      </c>
      <c r="AC131" s="21">
        <f t="shared" si="20"/>
        <v>0</v>
      </c>
      <c r="AD131" s="21" t="str">
        <f t="shared" si="19"/>
        <v/>
      </c>
      <c r="AE131" s="21">
        <f t="shared" si="18"/>
        <v>0</v>
      </c>
      <c r="AF131" s="21" t="str">
        <f t="shared" si="17"/>
        <v/>
      </c>
      <c r="AG131" s="21">
        <f t="shared" si="16"/>
        <v>0</v>
      </c>
      <c r="AH131" s="21" t="str">
        <f t="shared" si="15"/>
        <v/>
      </c>
      <c r="AI131" s="21">
        <f t="shared" si="14"/>
        <v>0</v>
      </c>
      <c r="AJ131" s="50" t="str">
        <f t="shared" si="13"/>
        <v/>
      </c>
    </row>
    <row r="132" spans="6:36" x14ac:dyDescent="0.25">
      <c r="F132" s="49"/>
      <c r="AB132" s="21">
        <f t="shared" si="21"/>
        <v>0</v>
      </c>
      <c r="AC132" s="21" t="str">
        <f t="shared" si="20"/>
        <v/>
      </c>
      <c r="AD132" s="21">
        <f t="shared" si="19"/>
        <v>0</v>
      </c>
      <c r="AE132" s="21" t="str">
        <f t="shared" si="18"/>
        <v/>
      </c>
      <c r="AF132" s="21">
        <f t="shared" si="17"/>
        <v>0</v>
      </c>
      <c r="AG132" s="21" t="str">
        <f t="shared" si="16"/>
        <v/>
      </c>
      <c r="AH132" s="21">
        <f t="shared" si="15"/>
        <v>0</v>
      </c>
      <c r="AI132" s="21" t="str">
        <f t="shared" si="14"/>
        <v/>
      </c>
      <c r="AJ132" s="50">
        <f t="shared" si="13"/>
        <v>0</v>
      </c>
    </row>
    <row r="133" spans="6:36" x14ac:dyDescent="0.25">
      <c r="F133" s="49"/>
      <c r="AC133" s="21">
        <f t="shared" si="20"/>
        <v>0</v>
      </c>
      <c r="AD133" s="21" t="str">
        <f t="shared" si="19"/>
        <v/>
      </c>
      <c r="AE133" s="21">
        <f t="shared" si="18"/>
        <v>0</v>
      </c>
      <c r="AF133" s="21" t="str">
        <f t="shared" si="17"/>
        <v/>
      </c>
      <c r="AG133" s="21">
        <f t="shared" si="16"/>
        <v>0</v>
      </c>
      <c r="AH133" s="21" t="str">
        <f t="shared" si="15"/>
        <v/>
      </c>
      <c r="AI133" s="21">
        <f t="shared" si="14"/>
        <v>0</v>
      </c>
      <c r="AJ133" s="50" t="str">
        <f t="shared" si="13"/>
        <v/>
      </c>
    </row>
    <row r="134" spans="6:36" x14ac:dyDescent="0.25">
      <c r="F134" s="49"/>
      <c r="AD134" s="21">
        <f t="shared" si="19"/>
        <v>0</v>
      </c>
      <c r="AE134" s="21" t="str">
        <f t="shared" si="18"/>
        <v/>
      </c>
      <c r="AF134" s="21">
        <f t="shared" si="17"/>
        <v>0</v>
      </c>
      <c r="AG134" s="21" t="str">
        <f t="shared" si="16"/>
        <v/>
      </c>
      <c r="AH134" s="21">
        <f t="shared" si="15"/>
        <v>0</v>
      </c>
      <c r="AI134" s="21" t="str">
        <f t="shared" si="14"/>
        <v/>
      </c>
      <c r="AJ134" s="50">
        <f t="shared" si="13"/>
        <v>0</v>
      </c>
    </row>
    <row r="135" spans="6:36" x14ac:dyDescent="0.25">
      <c r="F135" s="49"/>
      <c r="AE135" s="21">
        <f t="shared" si="18"/>
        <v>0</v>
      </c>
      <c r="AF135" s="21" t="str">
        <f t="shared" si="17"/>
        <v/>
      </c>
      <c r="AG135" s="21">
        <f t="shared" si="16"/>
        <v>0</v>
      </c>
      <c r="AH135" s="21" t="str">
        <f t="shared" si="15"/>
        <v/>
      </c>
      <c r="AI135" s="21">
        <f t="shared" si="14"/>
        <v>0</v>
      </c>
      <c r="AJ135" s="50" t="str">
        <f t="shared" si="13"/>
        <v/>
      </c>
    </row>
    <row r="136" spans="6:36" x14ac:dyDescent="0.25">
      <c r="F136" s="49"/>
      <c r="AF136" s="21">
        <f t="shared" si="17"/>
        <v>0</v>
      </c>
      <c r="AG136" s="21" t="str">
        <f t="shared" si="16"/>
        <v/>
      </c>
      <c r="AH136" s="21">
        <f t="shared" si="15"/>
        <v>0</v>
      </c>
      <c r="AI136" s="21" t="str">
        <f t="shared" si="14"/>
        <v/>
      </c>
      <c r="AJ136" s="50">
        <f t="shared" si="13"/>
        <v>0</v>
      </c>
    </row>
    <row r="137" spans="6:36" x14ac:dyDescent="0.25">
      <c r="F137" s="49"/>
      <c r="AG137" s="21">
        <f t="shared" si="16"/>
        <v>0</v>
      </c>
      <c r="AH137" s="21" t="str">
        <f t="shared" si="15"/>
        <v/>
      </c>
      <c r="AI137" s="21">
        <f t="shared" si="14"/>
        <v>0</v>
      </c>
      <c r="AJ137" s="50" t="str">
        <f t="shared" si="13"/>
        <v/>
      </c>
    </row>
    <row r="138" spans="6:36" x14ac:dyDescent="0.25">
      <c r="F138" s="49"/>
      <c r="AH138" s="21">
        <f t="shared" si="15"/>
        <v>0</v>
      </c>
      <c r="AI138" s="21" t="str">
        <f t="shared" si="14"/>
        <v/>
      </c>
      <c r="AJ138" s="50">
        <f t="shared" si="13"/>
        <v>0</v>
      </c>
    </row>
    <row r="139" spans="6:36" x14ac:dyDescent="0.25">
      <c r="F139" s="49"/>
      <c r="AI139" s="21">
        <f t="shared" si="14"/>
        <v>0</v>
      </c>
      <c r="AJ139" s="50" t="str">
        <f t="shared" si="13"/>
        <v/>
      </c>
    </row>
    <row r="140" spans="6:36" x14ac:dyDescent="0.25">
      <c r="F140" s="53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4">
        <f t="shared" si="13"/>
        <v>0</v>
      </c>
    </row>
  </sheetData>
  <mergeCells count="1">
    <mergeCell ref="F16:G1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3626-575D-484F-9FA3-F264891D6207}">
  <dimension ref="A1:B39"/>
  <sheetViews>
    <sheetView topLeftCell="A12" workbookViewId="0">
      <selection activeCell="B36" sqref="B36"/>
    </sheetView>
  </sheetViews>
  <sheetFormatPr baseColWidth="10" defaultRowHeight="13.2" x14ac:dyDescent="0.25"/>
  <cols>
    <col min="1" max="1" width="12.6640625" bestFit="1" customWidth="1"/>
  </cols>
  <sheetData>
    <row r="1" spans="1:1" x14ac:dyDescent="0.25">
      <c r="A1" s="58" t="s">
        <v>59</v>
      </c>
    </row>
    <row r="18" spans="1:2" x14ac:dyDescent="0.25">
      <c r="A18" s="58" t="s">
        <v>60</v>
      </c>
    </row>
    <row r="19" spans="1:2" x14ac:dyDescent="0.25">
      <c r="A19" s="59" t="s">
        <v>0</v>
      </c>
      <c r="B19" s="60">
        <v>100</v>
      </c>
    </row>
    <row r="20" spans="1:2" x14ac:dyDescent="0.25">
      <c r="A20" s="59" t="s">
        <v>61</v>
      </c>
      <c r="B20" s="60">
        <v>90</v>
      </c>
    </row>
    <row r="21" spans="1:2" x14ac:dyDescent="0.25">
      <c r="A21" s="59" t="s">
        <v>62</v>
      </c>
      <c r="B21" s="60">
        <v>110</v>
      </c>
    </row>
    <row r="22" spans="1:2" x14ac:dyDescent="0.25">
      <c r="A22" s="59" t="s">
        <v>1</v>
      </c>
      <c r="B22" s="61">
        <v>0.3</v>
      </c>
    </row>
    <row r="23" spans="1:2" x14ac:dyDescent="0.25">
      <c r="A23" s="59" t="s">
        <v>45</v>
      </c>
      <c r="B23" s="62">
        <v>0.05</v>
      </c>
    </row>
    <row r="24" spans="1:2" x14ac:dyDescent="0.25">
      <c r="A24" s="59" t="s">
        <v>47</v>
      </c>
      <c r="B24" s="62">
        <v>0.02</v>
      </c>
    </row>
    <row r="25" spans="1:2" x14ac:dyDescent="0.25">
      <c r="A25" s="59" t="s">
        <v>63</v>
      </c>
      <c r="B25" s="13">
        <v>0.5</v>
      </c>
    </row>
    <row r="26" spans="1:2" x14ac:dyDescent="0.25">
      <c r="A26" s="14"/>
      <c r="B26" s="14"/>
    </row>
    <row r="27" spans="1:2" x14ac:dyDescent="0.25">
      <c r="A27" s="59" t="s">
        <v>2</v>
      </c>
      <c r="B27" s="13">
        <f>(LN(B19/B20)+((B23-B24+(0.5*B22*B22))*B25))/(B22*SQRT(B25))</f>
        <v>0.67345092923637306</v>
      </c>
    </row>
    <row r="28" spans="1:2" x14ac:dyDescent="0.25">
      <c r="A28" s="59" t="s">
        <v>3</v>
      </c>
      <c r="B28" s="13">
        <f>B27-(B22*SQRT(B25))</f>
        <v>0.46131889488040878</v>
      </c>
    </row>
    <row r="30" spans="1:2" x14ac:dyDescent="0.25">
      <c r="A30" s="59" t="s">
        <v>64</v>
      </c>
      <c r="B30" s="13">
        <f>(LN(B19/B21)+((B23-B24+(0.5*B22*B22))*B25))/(B22*SQRT(B25))</f>
        <v>-0.27251980107501156</v>
      </c>
    </row>
    <row r="31" spans="1:2" x14ac:dyDescent="0.25">
      <c r="A31" s="59" t="s">
        <v>65</v>
      </c>
      <c r="B31" s="13">
        <f>B30-(B22*SQRT(B25))</f>
        <v>-0.48465183543097579</v>
      </c>
    </row>
    <row r="33" spans="1:2" x14ac:dyDescent="0.25">
      <c r="A33" s="59" t="s">
        <v>66</v>
      </c>
      <c r="B33" s="15">
        <f>(B19*EXP(-B24*B25)*NORMSDIST(B30))-(B21*EXP(-B23*B25)*NORMSDIST(B31))</f>
        <v>5.1873717259117882</v>
      </c>
    </row>
    <row r="34" spans="1:2" x14ac:dyDescent="0.25">
      <c r="A34" s="59" t="s">
        <v>67</v>
      </c>
      <c r="B34" s="15">
        <f>-(B19*EXP(-B24*B25)*NORMSDIST(-B27))+(B20*EXP(-B23*B25)*NORMSDIST(-B28))</f>
        <v>3.5055504026717905</v>
      </c>
    </row>
    <row r="35" spans="1:2" x14ac:dyDescent="0.25">
      <c r="A35" s="63"/>
      <c r="B35" s="104"/>
    </row>
    <row r="36" spans="1:2" x14ac:dyDescent="0.25">
      <c r="A36" s="59" t="s">
        <v>68</v>
      </c>
      <c r="B36" s="105">
        <f>B33+B34-B35</f>
        <v>8.6929221285835787</v>
      </c>
    </row>
    <row r="39" spans="1:2" x14ac:dyDescent="0.25">
      <c r="A39" s="5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1727-C650-409F-90A9-449523F70414}">
  <dimension ref="B1:AQ140"/>
  <sheetViews>
    <sheetView topLeftCell="A82" zoomScale="80" zoomScaleNormal="80" workbookViewId="0">
      <selection activeCell="D111" sqref="D111"/>
    </sheetView>
  </sheetViews>
  <sheetFormatPr baseColWidth="10" defaultColWidth="8.77734375" defaultRowHeight="13.2" x14ac:dyDescent="0.25"/>
  <cols>
    <col min="1" max="1" width="8.77734375" style="21"/>
    <col min="2" max="2" width="13.109375" style="21" bestFit="1" customWidth="1"/>
    <col min="3" max="6" width="8.77734375" style="21"/>
    <col min="7" max="7" width="12.21875" style="21" bestFit="1" customWidth="1"/>
    <col min="8" max="9" width="8.77734375" style="21"/>
    <col min="10" max="10" width="15.109375" style="21" bestFit="1" customWidth="1"/>
    <col min="11" max="12" width="8.77734375" style="21"/>
    <col min="13" max="13" width="15.109375" style="21" bestFit="1" customWidth="1"/>
    <col min="14" max="35" width="8.77734375" style="21"/>
    <col min="36" max="36" width="9.6640625" style="21" bestFit="1" customWidth="1"/>
    <col min="37" max="41" width="8.77734375" style="21"/>
    <col min="42" max="42" width="9.6640625" style="21" bestFit="1" customWidth="1"/>
    <col min="43" max="43" width="12.33203125" style="21" bestFit="1" customWidth="1"/>
    <col min="44" max="16384" width="8.77734375" style="21"/>
  </cols>
  <sheetData>
    <row r="1" spans="2:8" x14ac:dyDescent="0.25">
      <c r="B1" s="42" t="s">
        <v>0</v>
      </c>
      <c r="C1" s="42">
        <v>100</v>
      </c>
      <c r="G1" s="42" t="s">
        <v>28</v>
      </c>
      <c r="H1" s="37">
        <f>IF(C8="C",1,-1)</f>
        <v>1</v>
      </c>
    </row>
    <row r="2" spans="2:8" x14ac:dyDescent="0.25">
      <c r="B2" s="42" t="s">
        <v>43</v>
      </c>
      <c r="C2" s="42">
        <v>90</v>
      </c>
      <c r="D2" s="42">
        <v>110</v>
      </c>
      <c r="G2" s="42" t="s">
        <v>44</v>
      </c>
      <c r="H2" s="37">
        <f>IF(C9="A",1,0)</f>
        <v>0</v>
      </c>
    </row>
    <row r="3" spans="2:8" x14ac:dyDescent="0.25">
      <c r="B3" s="42" t="s">
        <v>45</v>
      </c>
      <c r="C3" s="46">
        <v>0.05</v>
      </c>
      <c r="G3" s="37" t="s">
        <v>46</v>
      </c>
      <c r="H3" s="37">
        <f>C6/C7</f>
        <v>6.6666666666666671E-3</v>
      </c>
    </row>
    <row r="4" spans="2:8" x14ac:dyDescent="0.25">
      <c r="B4" s="42" t="s">
        <v>47</v>
      </c>
      <c r="C4" s="46">
        <v>0.02</v>
      </c>
      <c r="G4" s="37" t="s">
        <v>48</v>
      </c>
      <c r="H4" s="37">
        <f>EXP(C5*SQRT(H3))</f>
        <v>1.0247973619913604</v>
      </c>
    </row>
    <row r="5" spans="2:8" x14ac:dyDescent="0.25">
      <c r="B5" s="42" t="s">
        <v>49</v>
      </c>
      <c r="C5" s="46">
        <v>0.3</v>
      </c>
      <c r="G5" s="37" t="s">
        <v>50</v>
      </c>
      <c r="H5" s="37">
        <f>1/H4</f>
        <v>0.97580266800923965</v>
      </c>
    </row>
    <row r="6" spans="2:8" x14ac:dyDescent="0.25">
      <c r="B6" s="42" t="s">
        <v>51</v>
      </c>
      <c r="C6" s="42">
        <v>0.2</v>
      </c>
      <c r="G6" s="37" t="s">
        <v>52</v>
      </c>
      <c r="H6" s="37">
        <f>(EXP((C3-C4)*H3)-H5)/(H4-H5)</f>
        <v>0.497959064730498</v>
      </c>
    </row>
    <row r="7" spans="2:8" x14ac:dyDescent="0.25">
      <c r="B7" s="42" t="s">
        <v>39</v>
      </c>
      <c r="C7" s="42">
        <v>30</v>
      </c>
    </row>
    <row r="8" spans="2:8" x14ac:dyDescent="0.25">
      <c r="B8" s="42" t="s">
        <v>28</v>
      </c>
      <c r="C8" s="37" t="s">
        <v>26</v>
      </c>
    </row>
    <row r="9" spans="2:8" x14ac:dyDescent="0.25">
      <c r="B9" s="42" t="s">
        <v>53</v>
      </c>
      <c r="C9" s="37" t="s">
        <v>54</v>
      </c>
    </row>
    <row r="16" spans="2:8" x14ac:dyDescent="0.25">
      <c r="F16" s="122" t="s">
        <v>55</v>
      </c>
      <c r="G16" s="122"/>
    </row>
    <row r="17" spans="6:36" x14ac:dyDescent="0.25">
      <c r="F17" s="42">
        <v>0</v>
      </c>
      <c r="G17" s="42">
        <f>F17+$H$3</f>
        <v>6.6666666666666671E-3</v>
      </c>
      <c r="H17" s="42">
        <f>G17+$H$3</f>
        <v>1.3333333333333334E-2</v>
      </c>
      <c r="I17" s="42">
        <f t="shared" ref="I17:AJ17" si="0">H17+$H$3</f>
        <v>0.02</v>
      </c>
      <c r="J17" s="42">
        <f t="shared" si="0"/>
        <v>2.6666666666666668E-2</v>
      </c>
      <c r="K17" s="42">
        <f t="shared" si="0"/>
        <v>3.3333333333333333E-2</v>
      </c>
      <c r="L17" s="42">
        <f t="shared" si="0"/>
        <v>0.04</v>
      </c>
      <c r="M17" s="42">
        <f t="shared" si="0"/>
        <v>4.6666666666666669E-2</v>
      </c>
      <c r="N17" s="42">
        <f t="shared" si="0"/>
        <v>5.3333333333333337E-2</v>
      </c>
      <c r="O17" s="42">
        <f t="shared" si="0"/>
        <v>6.0000000000000005E-2</v>
      </c>
      <c r="P17" s="42">
        <f t="shared" si="0"/>
        <v>6.6666666666666666E-2</v>
      </c>
      <c r="Q17" s="42">
        <f t="shared" si="0"/>
        <v>7.3333333333333334E-2</v>
      </c>
      <c r="R17" s="42">
        <f t="shared" si="0"/>
        <v>0.08</v>
      </c>
      <c r="S17" s="42">
        <f t="shared" si="0"/>
        <v>8.666666666666667E-2</v>
      </c>
      <c r="T17" s="42">
        <f t="shared" si="0"/>
        <v>9.3333333333333338E-2</v>
      </c>
      <c r="U17" s="42">
        <f t="shared" si="0"/>
        <v>0.1</v>
      </c>
      <c r="V17" s="42">
        <f t="shared" si="0"/>
        <v>0.10666666666666667</v>
      </c>
      <c r="W17" s="42">
        <f t="shared" si="0"/>
        <v>0.11333333333333334</v>
      </c>
      <c r="X17" s="42">
        <f t="shared" si="0"/>
        <v>0.12000000000000001</v>
      </c>
      <c r="Y17" s="42">
        <f t="shared" si="0"/>
        <v>0.12666666666666668</v>
      </c>
      <c r="Z17" s="42">
        <f t="shared" si="0"/>
        <v>0.13333333333333333</v>
      </c>
      <c r="AA17" s="42">
        <f t="shared" si="0"/>
        <v>0.13999999999999999</v>
      </c>
      <c r="AB17" s="42">
        <f t="shared" si="0"/>
        <v>0.14666666666666664</v>
      </c>
      <c r="AC17" s="42">
        <f t="shared" si="0"/>
        <v>0.15333333333333329</v>
      </c>
      <c r="AD17" s="42">
        <f t="shared" si="0"/>
        <v>0.15999999999999995</v>
      </c>
      <c r="AE17" s="42">
        <f t="shared" si="0"/>
        <v>0.1666666666666666</v>
      </c>
      <c r="AF17" s="42">
        <f t="shared" si="0"/>
        <v>0.17333333333333326</v>
      </c>
      <c r="AG17" s="42">
        <f t="shared" si="0"/>
        <v>0.17999999999999991</v>
      </c>
      <c r="AH17" s="42">
        <f t="shared" si="0"/>
        <v>0.18666666666666656</v>
      </c>
      <c r="AI17" s="42">
        <f t="shared" si="0"/>
        <v>0.19333333333333322</v>
      </c>
      <c r="AJ17" s="42">
        <f t="shared" si="0"/>
        <v>0.19999999999999987</v>
      </c>
    </row>
    <row r="18" spans="6:36" x14ac:dyDescent="0.25">
      <c r="F18" s="47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0">
        <f>AI19*$H$4</f>
        <v>208.51627772667712</v>
      </c>
    </row>
    <row r="19" spans="6:36" x14ac:dyDescent="0.25">
      <c r="F19" s="49"/>
      <c r="AI19" s="38">
        <f>AH20*$H$4</f>
        <v>203.4707401290471</v>
      </c>
      <c r="AJ19" s="50"/>
    </row>
    <row r="20" spans="6:36" x14ac:dyDescent="0.25">
      <c r="F20" s="49"/>
      <c r="AH20" s="38">
        <f>AG21*$H$4</f>
        <v>198.54729107973881</v>
      </c>
      <c r="AJ20" s="50">
        <f>IF(AH20&lt;&gt;0,AH20,"")</f>
        <v>198.54729107973881</v>
      </c>
    </row>
    <row r="21" spans="6:36" x14ac:dyDescent="0.25">
      <c r="F21" s="49"/>
      <c r="AG21" s="38">
        <f>AF22*$H$4</f>
        <v>193.74297636161623</v>
      </c>
      <c r="AI21" s="21">
        <f>IF(AG21&lt;&gt;0,AG21,"")</f>
        <v>193.74297636161623</v>
      </c>
      <c r="AJ21" s="50" t="str">
        <f t="shared" ref="AJ21:AJ76" si="1">IF(AH21&lt;&gt;0,AH21,"")</f>
        <v/>
      </c>
    </row>
    <row r="22" spans="6:36" x14ac:dyDescent="0.25">
      <c r="F22" s="49"/>
      <c r="AF22" s="38">
        <f>AE23*$H$4</f>
        <v>189.05491324171615</v>
      </c>
      <c r="AH22" s="21">
        <f>IF(AF22&lt;&gt;0,AF22,"")</f>
        <v>189.05491324171615</v>
      </c>
      <c r="AI22" s="21" t="str">
        <f t="shared" ref="AI22:AI75" si="2">IF(AG22&lt;&gt;0,AG22,"")</f>
        <v/>
      </c>
      <c r="AJ22" s="50">
        <f t="shared" si="1"/>
        <v>189.05491324171615</v>
      </c>
    </row>
    <row r="23" spans="6:36" x14ac:dyDescent="0.25">
      <c r="F23" s="22"/>
      <c r="G23" s="38"/>
      <c r="H23" s="38"/>
      <c r="I23" s="38"/>
      <c r="M23" s="56"/>
      <c r="AE23" s="38">
        <f>AD24*$H$4</f>
        <v>184.48028874152195</v>
      </c>
      <c r="AG23" s="21">
        <f>IF(AE23&lt;&gt;0,AE23,"")</f>
        <v>184.48028874152195</v>
      </c>
      <c r="AH23" s="21" t="str">
        <f t="shared" ref="AH23:AH74" si="3">IF(AF23&lt;&gt;0,AF23,"")</f>
        <v/>
      </c>
      <c r="AI23" s="21">
        <f t="shared" si="2"/>
        <v>184.48028874152195</v>
      </c>
      <c r="AJ23" s="50" t="str">
        <f t="shared" si="1"/>
        <v/>
      </c>
    </row>
    <row r="24" spans="6:36" x14ac:dyDescent="0.25">
      <c r="F24" s="49"/>
      <c r="AD24" s="38">
        <f>AC25*$H$4</f>
        <v>180.016357949092</v>
      </c>
      <c r="AF24" s="21">
        <f>IF(AD24&lt;&gt;0,AD24,"")</f>
        <v>180.016357949092</v>
      </c>
      <c r="AG24" s="21" t="str">
        <f t="shared" ref="AG24:AG73" si="4">IF(AE24&lt;&gt;0,AE24,"")</f>
        <v/>
      </c>
      <c r="AH24" s="21">
        <f t="shared" si="3"/>
        <v>180.016357949092</v>
      </c>
      <c r="AI24" s="21" t="str">
        <f t="shared" si="2"/>
        <v/>
      </c>
      <c r="AJ24" s="50">
        <f t="shared" si="1"/>
        <v>180.016357949092</v>
      </c>
    </row>
    <row r="25" spans="6:36" x14ac:dyDescent="0.25">
      <c r="F25" s="49"/>
      <c r="AC25" s="38">
        <f>AB26*$H$4</f>
        <v>175.66044237203025</v>
      </c>
      <c r="AE25" s="21">
        <f>IF(AC25&lt;&gt;0,AC25,"")</f>
        <v>175.66044237203025</v>
      </c>
      <c r="AF25" s="21" t="str">
        <f t="shared" ref="AF25:AF72" si="5">IF(AD25&lt;&gt;0,AD25,"")</f>
        <v/>
      </c>
      <c r="AG25" s="21">
        <f t="shared" si="4"/>
        <v>175.66044237203025</v>
      </c>
      <c r="AH25" s="21" t="str">
        <f t="shared" si="3"/>
        <v/>
      </c>
      <c r="AI25" s="21">
        <f t="shared" si="2"/>
        <v>175.66044237203025</v>
      </c>
      <c r="AJ25" s="50" t="str">
        <f t="shared" si="1"/>
        <v/>
      </c>
    </row>
    <row r="26" spans="6:36" x14ac:dyDescent="0.25">
      <c r="F26" s="49"/>
      <c r="AB26" s="38">
        <f>AA27*$H$4</f>
        <v>171.40992833031041</v>
      </c>
      <c r="AD26" s="21">
        <f>IF(AB26&lt;&gt;0,AB26,"")</f>
        <v>171.40992833031041</v>
      </c>
      <c r="AE26" s="21" t="str">
        <f t="shared" ref="AE26:AE71" si="6">IF(AC26&lt;&gt;0,AC26,"")</f>
        <v/>
      </c>
      <c r="AF26" s="21">
        <f t="shared" si="5"/>
        <v>171.40992833031041</v>
      </c>
      <c r="AG26" s="21" t="str">
        <f t="shared" si="4"/>
        <v/>
      </c>
      <c r="AH26" s="21">
        <f t="shared" si="3"/>
        <v>171.40992833031041</v>
      </c>
      <c r="AI26" s="21" t="str">
        <f t="shared" si="2"/>
        <v/>
      </c>
      <c r="AJ26" s="50">
        <f t="shared" si="1"/>
        <v>171.40992833031041</v>
      </c>
    </row>
    <row r="27" spans="6:36" x14ac:dyDescent="0.25">
      <c r="F27" s="49"/>
      <c r="AA27" s="38">
        <f>Z28*$H$4</f>
        <v>167.26226538798943</v>
      </c>
      <c r="AC27" s="21">
        <f>IF(AA27&lt;&gt;0,AA27,"")</f>
        <v>167.26226538798943</v>
      </c>
      <c r="AD27" s="21" t="str">
        <f t="shared" ref="AD27:AD70" si="7">IF(AB27&lt;&gt;0,AB27,"")</f>
        <v/>
      </c>
      <c r="AE27" s="21">
        <f t="shared" si="6"/>
        <v>167.26226538798943</v>
      </c>
      <c r="AF27" s="21" t="str">
        <f t="shared" si="5"/>
        <v/>
      </c>
      <c r="AG27" s="21">
        <f t="shared" si="4"/>
        <v>167.26226538798943</v>
      </c>
      <c r="AH27" s="21" t="str">
        <f t="shared" si="3"/>
        <v/>
      </c>
      <c r="AI27" s="21">
        <f t="shared" si="2"/>
        <v>167.26226538798943</v>
      </c>
      <c r="AJ27" s="50" t="str">
        <f t="shared" si="1"/>
        <v/>
      </c>
    </row>
    <row r="28" spans="6:36" x14ac:dyDescent="0.25">
      <c r="F28" s="49"/>
      <c r="Z28" s="38">
        <f>Y29*$H$4</f>
        <v>163.21496482286958</v>
      </c>
      <c r="AB28" s="21">
        <f>IF(Z28&lt;&gt;0,Z28,"")</f>
        <v>163.21496482286958</v>
      </c>
      <c r="AC28" s="21" t="str">
        <f t="shared" ref="AC28:AC69" si="8">IF(AA28&lt;&gt;0,AA28,"")</f>
        <v/>
      </c>
      <c r="AD28" s="21">
        <f t="shared" si="7"/>
        <v>163.21496482286958</v>
      </c>
      <c r="AE28" s="21" t="str">
        <f t="shared" si="6"/>
        <v/>
      </c>
      <c r="AF28" s="21">
        <f t="shared" si="5"/>
        <v>163.21496482286958</v>
      </c>
      <c r="AG28" s="21" t="str">
        <f t="shared" si="4"/>
        <v/>
      </c>
      <c r="AH28" s="21">
        <f t="shared" si="3"/>
        <v>163.21496482286958</v>
      </c>
      <c r="AI28" s="21" t="str">
        <f t="shared" si="2"/>
        <v/>
      </c>
      <c r="AJ28" s="50">
        <f t="shared" si="1"/>
        <v>163.21496482286958</v>
      </c>
    </row>
    <row r="29" spans="6:36" x14ac:dyDescent="0.25">
      <c r="F29" s="49"/>
      <c r="Y29" s="38">
        <f>X30*$H$4</f>
        <v>159.26559813319031</v>
      </c>
      <c r="AA29" s="21">
        <f>IF(Y29&lt;&gt;0,Y29,"")</f>
        <v>159.26559813319031</v>
      </c>
      <c r="AB29" s="21" t="str">
        <f t="shared" ref="AB29:AB68" si="9">IF(Z29&lt;&gt;0,Z29,"")</f>
        <v/>
      </c>
      <c r="AC29" s="21">
        <f t="shared" si="8"/>
        <v>159.26559813319031</v>
      </c>
      <c r="AD29" s="21" t="str">
        <f t="shared" si="7"/>
        <v/>
      </c>
      <c r="AE29" s="21">
        <f t="shared" si="6"/>
        <v>159.26559813319031</v>
      </c>
      <c r="AF29" s="21" t="str">
        <f t="shared" si="5"/>
        <v/>
      </c>
      <c r="AG29" s="21">
        <f t="shared" si="4"/>
        <v>159.26559813319031</v>
      </c>
      <c r="AH29" s="21" t="str">
        <f t="shared" si="3"/>
        <v/>
      </c>
      <c r="AI29" s="21">
        <f t="shared" si="2"/>
        <v>159.26559813319031</v>
      </c>
      <c r="AJ29" s="50" t="str">
        <f t="shared" si="1"/>
        <v/>
      </c>
    </row>
    <row r="30" spans="6:36" x14ac:dyDescent="0.25">
      <c r="F30" s="49"/>
      <c r="X30" s="38">
        <f>W31*$H$4</f>
        <v>155.41179558045448</v>
      </c>
      <c r="Z30" s="21">
        <f>IF(X30&lt;&gt;0,X30,"")</f>
        <v>155.41179558045448</v>
      </c>
      <c r="AA30" s="21" t="str">
        <f t="shared" ref="AA30:AA66" si="10">IF(Y30&lt;&gt;0,Y30,"")</f>
        <v/>
      </c>
      <c r="AB30" s="21">
        <f t="shared" si="9"/>
        <v>155.41179558045448</v>
      </c>
      <c r="AC30" s="21" t="str">
        <f t="shared" si="8"/>
        <v/>
      </c>
      <c r="AD30" s="21">
        <f t="shared" si="7"/>
        <v>155.41179558045448</v>
      </c>
      <c r="AE30" s="21" t="str">
        <f t="shared" si="6"/>
        <v/>
      </c>
      <c r="AF30" s="21">
        <f t="shared" si="5"/>
        <v>155.41179558045448</v>
      </c>
      <c r="AG30" s="21" t="str">
        <f t="shared" si="4"/>
        <v/>
      </c>
      <c r="AH30" s="21">
        <f t="shared" si="3"/>
        <v>155.41179558045448</v>
      </c>
      <c r="AI30" s="21" t="str">
        <f t="shared" si="2"/>
        <v/>
      </c>
      <c r="AJ30" s="50">
        <f t="shared" si="1"/>
        <v>155.41179558045448</v>
      </c>
    </row>
    <row r="31" spans="6:36" x14ac:dyDescent="0.25">
      <c r="F31" s="49"/>
      <c r="W31" s="38">
        <f>V32*$H$4</f>
        <v>151.65124476751404</v>
      </c>
      <c r="Y31" s="21">
        <f>W31</f>
        <v>151.65124476751404</v>
      </c>
      <c r="Z31" s="21" t="str">
        <f>IF(X31&lt;&gt;0,X31,"")</f>
        <v/>
      </c>
      <c r="AA31" s="21">
        <f t="shared" si="10"/>
        <v>151.65124476751404</v>
      </c>
      <c r="AB31" s="21" t="str">
        <f t="shared" si="9"/>
        <v/>
      </c>
      <c r="AC31" s="21">
        <f t="shared" si="8"/>
        <v>151.65124476751404</v>
      </c>
      <c r="AD31" s="21" t="str">
        <f t="shared" si="7"/>
        <v/>
      </c>
      <c r="AE31" s="21">
        <f t="shared" si="6"/>
        <v>151.65124476751404</v>
      </c>
      <c r="AF31" s="21" t="str">
        <f t="shared" si="5"/>
        <v/>
      </c>
      <c r="AG31" s="21">
        <f t="shared" si="4"/>
        <v>151.65124476751404</v>
      </c>
      <c r="AH31" s="21" t="str">
        <f t="shared" si="3"/>
        <v/>
      </c>
      <c r="AI31" s="21">
        <f t="shared" si="2"/>
        <v>151.65124476751404</v>
      </c>
      <c r="AJ31" s="50" t="str">
        <f t="shared" si="1"/>
        <v/>
      </c>
    </row>
    <row r="32" spans="6:36" x14ac:dyDescent="0.25">
      <c r="F32" s="49"/>
      <c r="V32" s="38">
        <f>U33*$H$4</f>
        <v>147.98168925106245</v>
      </c>
      <c r="X32" s="21">
        <f>V32</f>
        <v>147.98168925106245</v>
      </c>
      <c r="Z32" s="21">
        <f t="shared" ref="Z32:AA67" si="11">IF(X32&lt;&gt;0,X32,"")</f>
        <v>147.98168925106245</v>
      </c>
      <c r="AA32" s="21" t="str">
        <f t="shared" si="10"/>
        <v/>
      </c>
      <c r="AB32" s="21">
        <f t="shared" si="9"/>
        <v>147.98168925106245</v>
      </c>
      <c r="AC32" s="21" t="str">
        <f t="shared" si="8"/>
        <v/>
      </c>
      <c r="AD32" s="21">
        <f t="shared" si="7"/>
        <v>147.98168925106245</v>
      </c>
      <c r="AE32" s="21" t="str">
        <f t="shared" si="6"/>
        <v/>
      </c>
      <c r="AF32" s="21">
        <f t="shared" si="5"/>
        <v>147.98168925106245</v>
      </c>
      <c r="AG32" s="21" t="str">
        <f t="shared" si="4"/>
        <v/>
      </c>
      <c r="AH32" s="21">
        <f t="shared" si="3"/>
        <v>147.98168925106245</v>
      </c>
      <c r="AI32" s="21" t="str">
        <f t="shared" si="2"/>
        <v/>
      </c>
      <c r="AJ32" s="50">
        <f t="shared" si="1"/>
        <v>147.98168925106245</v>
      </c>
    </row>
    <row r="33" spans="6:36" x14ac:dyDescent="0.25">
      <c r="F33" s="49"/>
      <c r="U33" s="38">
        <f>T34*$H$4</f>
        <v>144.40092718770094</v>
      </c>
      <c r="W33" s="21">
        <f>U33</f>
        <v>144.40092718770094</v>
      </c>
      <c r="Y33" s="21">
        <f>W33</f>
        <v>144.40092718770094</v>
      </c>
      <c r="Z33" s="21" t="str">
        <f t="shared" si="11"/>
        <v/>
      </c>
      <c r="AA33" s="21">
        <f t="shared" si="10"/>
        <v>144.40092718770094</v>
      </c>
      <c r="AB33" s="21" t="str">
        <f t="shared" si="9"/>
        <v/>
      </c>
      <c r="AC33" s="21">
        <f t="shared" si="8"/>
        <v>144.40092718770094</v>
      </c>
      <c r="AD33" s="21" t="str">
        <f t="shared" si="7"/>
        <v/>
      </c>
      <c r="AE33" s="21">
        <f t="shared" si="6"/>
        <v>144.40092718770094</v>
      </c>
      <c r="AF33" s="21" t="str">
        <f t="shared" si="5"/>
        <v/>
      </c>
      <c r="AG33" s="21">
        <f t="shared" si="4"/>
        <v>144.40092718770094</v>
      </c>
      <c r="AH33" s="21" t="str">
        <f t="shared" si="3"/>
        <v/>
      </c>
      <c r="AI33" s="21">
        <f t="shared" si="2"/>
        <v>144.40092718770094</v>
      </c>
      <c r="AJ33" s="50" t="str">
        <f t="shared" si="1"/>
        <v/>
      </c>
    </row>
    <row r="34" spans="6:36" x14ac:dyDescent="0.25">
      <c r="F34" s="49"/>
      <c r="T34" s="38">
        <f>S35*$H$4</f>
        <v>140.90681001276653</v>
      </c>
      <c r="V34" s="21">
        <f>T34</f>
        <v>140.90681001276653</v>
      </c>
      <c r="X34" s="21">
        <f>V34</f>
        <v>140.90681001276653</v>
      </c>
      <c r="Z34" s="21">
        <f t="shared" si="11"/>
        <v>140.90681001276653</v>
      </c>
      <c r="AA34" s="21" t="str">
        <f t="shared" si="10"/>
        <v/>
      </c>
      <c r="AB34" s="21">
        <f t="shared" si="9"/>
        <v>140.90681001276653</v>
      </c>
      <c r="AC34" s="21" t="str">
        <f t="shared" si="8"/>
        <v/>
      </c>
      <c r="AD34" s="21">
        <f t="shared" si="7"/>
        <v>140.90681001276653</v>
      </c>
      <c r="AE34" s="21" t="str">
        <f t="shared" si="6"/>
        <v/>
      </c>
      <c r="AF34" s="21">
        <f t="shared" si="5"/>
        <v>140.90681001276653</v>
      </c>
      <c r="AG34" s="21" t="str">
        <f t="shared" si="4"/>
        <v/>
      </c>
      <c r="AH34" s="21">
        <f t="shared" si="3"/>
        <v>140.90681001276653</v>
      </c>
      <c r="AI34" s="21" t="str">
        <f t="shared" si="2"/>
        <v/>
      </c>
      <c r="AJ34" s="50">
        <f t="shared" si="1"/>
        <v>140.90681001276653</v>
      </c>
    </row>
    <row r="35" spans="6:36" x14ac:dyDescent="0.25">
      <c r="F35" s="49"/>
      <c r="S35" s="38">
        <f>R36*$H$4</f>
        <v>137.49724115112861</v>
      </c>
      <c r="U35" s="21">
        <f>S35</f>
        <v>137.49724115112861</v>
      </c>
      <c r="W35" s="21">
        <f>U35</f>
        <v>137.49724115112861</v>
      </c>
      <c r="Y35" s="21">
        <f>W35</f>
        <v>137.49724115112861</v>
      </c>
      <c r="Z35" s="21" t="str">
        <f t="shared" si="11"/>
        <v/>
      </c>
      <c r="AA35" s="21">
        <f t="shared" si="10"/>
        <v>137.49724115112861</v>
      </c>
      <c r="AB35" s="21" t="str">
        <f t="shared" si="9"/>
        <v/>
      </c>
      <c r="AC35" s="21">
        <f t="shared" si="8"/>
        <v>137.49724115112861</v>
      </c>
      <c r="AD35" s="21" t="str">
        <f t="shared" si="7"/>
        <v/>
      </c>
      <c r="AE35" s="21">
        <f t="shared" si="6"/>
        <v>137.49724115112861</v>
      </c>
      <c r="AF35" s="21" t="str">
        <f t="shared" si="5"/>
        <v/>
      </c>
      <c r="AG35" s="21">
        <f t="shared" si="4"/>
        <v>137.49724115112861</v>
      </c>
      <c r="AH35" s="21" t="str">
        <f t="shared" si="3"/>
        <v/>
      </c>
      <c r="AI35" s="21">
        <f t="shared" si="2"/>
        <v>137.49724115112861</v>
      </c>
      <c r="AJ35" s="50" t="str">
        <f t="shared" si="1"/>
        <v/>
      </c>
    </row>
    <row r="36" spans="6:36" x14ac:dyDescent="0.25">
      <c r="F36" s="49"/>
      <c r="R36" s="38">
        <f>Q37*$H$4</f>
        <v>134.17017475918109</v>
      </c>
      <c r="T36" s="21">
        <f>R36</f>
        <v>134.17017475918109</v>
      </c>
      <c r="V36" s="21">
        <f>T36</f>
        <v>134.17017475918109</v>
      </c>
      <c r="X36" s="21">
        <f>V36</f>
        <v>134.17017475918109</v>
      </c>
      <c r="Z36" s="21">
        <f t="shared" si="11"/>
        <v>134.17017475918109</v>
      </c>
      <c r="AA36" s="21" t="str">
        <f t="shared" si="10"/>
        <v/>
      </c>
      <c r="AB36" s="21">
        <f t="shared" si="9"/>
        <v>134.17017475918109</v>
      </c>
      <c r="AC36" s="21" t="str">
        <f t="shared" si="8"/>
        <v/>
      </c>
      <c r="AD36" s="21">
        <f t="shared" si="7"/>
        <v>134.17017475918109</v>
      </c>
      <c r="AE36" s="21" t="str">
        <f t="shared" si="6"/>
        <v/>
      </c>
      <c r="AF36" s="21">
        <f t="shared" si="5"/>
        <v>134.17017475918109</v>
      </c>
      <c r="AG36" s="21" t="str">
        <f t="shared" si="4"/>
        <v/>
      </c>
      <c r="AH36" s="21">
        <f t="shared" si="3"/>
        <v>134.17017475918109</v>
      </c>
      <c r="AI36" s="21" t="str">
        <f t="shared" si="2"/>
        <v/>
      </c>
      <c r="AJ36" s="50">
        <f t="shared" si="1"/>
        <v>134.17017475918109</v>
      </c>
    </row>
    <row r="37" spans="6:36" x14ac:dyDescent="0.25">
      <c r="F37" s="49"/>
      <c r="Q37" s="38">
        <f>P38*$H$4</f>
        <v>130.92361449727485</v>
      </c>
      <c r="S37" s="21">
        <f>Q37</f>
        <v>130.92361449727485</v>
      </c>
      <c r="U37" s="21">
        <f>S37</f>
        <v>130.92361449727485</v>
      </c>
      <c r="W37" s="21">
        <f>U37</f>
        <v>130.92361449727485</v>
      </c>
      <c r="Y37" s="21">
        <f>W37</f>
        <v>130.92361449727485</v>
      </c>
      <c r="Z37" s="21" t="str">
        <f t="shared" si="11"/>
        <v/>
      </c>
      <c r="AA37" s="21">
        <f t="shared" si="10"/>
        <v>130.92361449727485</v>
      </c>
      <c r="AB37" s="21" t="str">
        <f t="shared" si="9"/>
        <v/>
      </c>
      <c r="AC37" s="21">
        <f t="shared" si="8"/>
        <v>130.92361449727485</v>
      </c>
      <c r="AD37" s="21" t="str">
        <f t="shared" si="7"/>
        <v/>
      </c>
      <c r="AE37" s="21">
        <f t="shared" si="6"/>
        <v>130.92361449727485</v>
      </c>
      <c r="AF37" s="21" t="str">
        <f t="shared" si="5"/>
        <v/>
      </c>
      <c r="AG37" s="21">
        <f t="shared" si="4"/>
        <v>130.92361449727485</v>
      </c>
      <c r="AH37" s="21" t="str">
        <f t="shared" si="3"/>
        <v/>
      </c>
      <c r="AI37" s="21">
        <f t="shared" si="2"/>
        <v>130.92361449727485</v>
      </c>
      <c r="AJ37" s="50" t="str">
        <f t="shared" si="1"/>
        <v/>
      </c>
    </row>
    <row r="38" spans="6:36" x14ac:dyDescent="0.25">
      <c r="F38" s="49"/>
      <c r="P38" s="38">
        <f>O39*$H$4</f>
        <v>127.75561233185397</v>
      </c>
      <c r="R38" s="21">
        <f>P38</f>
        <v>127.75561233185397</v>
      </c>
      <c r="T38" s="21">
        <f>R38</f>
        <v>127.75561233185397</v>
      </c>
      <c r="V38" s="21">
        <f>T38</f>
        <v>127.75561233185397</v>
      </c>
      <c r="X38" s="21">
        <f>V38</f>
        <v>127.75561233185397</v>
      </c>
      <c r="Z38" s="21">
        <f t="shared" si="11"/>
        <v>127.75561233185397</v>
      </c>
      <c r="AA38" s="21" t="str">
        <f t="shared" si="10"/>
        <v/>
      </c>
      <c r="AB38" s="21">
        <f t="shared" si="9"/>
        <v>127.75561233185397</v>
      </c>
      <c r="AC38" s="21" t="str">
        <f t="shared" si="8"/>
        <v/>
      </c>
      <c r="AD38" s="21">
        <f t="shared" si="7"/>
        <v>127.75561233185397</v>
      </c>
      <c r="AE38" s="21" t="str">
        <f t="shared" si="6"/>
        <v/>
      </c>
      <c r="AF38" s="21">
        <f t="shared" si="5"/>
        <v>127.75561233185397</v>
      </c>
      <c r="AG38" s="21" t="str">
        <f t="shared" si="4"/>
        <v/>
      </c>
      <c r="AH38" s="21">
        <f t="shared" si="3"/>
        <v>127.75561233185397</v>
      </c>
      <c r="AI38" s="21" t="str">
        <f t="shared" si="2"/>
        <v/>
      </c>
      <c r="AJ38" s="50">
        <f t="shared" si="1"/>
        <v>127.75561233185397</v>
      </c>
    </row>
    <row r="39" spans="6:36" x14ac:dyDescent="0.25">
      <c r="F39" s="49"/>
      <c r="O39" s="38">
        <f>N40*$H$4</f>
        <v>124.66426736657722</v>
      </c>
      <c r="Q39" s="21">
        <f>O39</f>
        <v>124.66426736657722</v>
      </c>
      <c r="S39" s="21">
        <f>Q39</f>
        <v>124.66426736657722</v>
      </c>
      <c r="U39" s="21">
        <f>S39</f>
        <v>124.66426736657722</v>
      </c>
      <c r="W39" s="21">
        <f>U39</f>
        <v>124.66426736657722</v>
      </c>
      <c r="Y39" s="21">
        <f>W39</f>
        <v>124.66426736657722</v>
      </c>
      <c r="Z39" s="21" t="str">
        <f t="shared" si="11"/>
        <v/>
      </c>
      <c r="AA39" s="21">
        <f t="shared" si="10"/>
        <v>124.66426736657722</v>
      </c>
      <c r="AB39" s="21" t="str">
        <f t="shared" si="9"/>
        <v/>
      </c>
      <c r="AC39" s="21">
        <f t="shared" si="8"/>
        <v>124.66426736657722</v>
      </c>
      <c r="AD39" s="21" t="str">
        <f t="shared" si="7"/>
        <v/>
      </c>
      <c r="AE39" s="21">
        <f t="shared" si="6"/>
        <v>124.66426736657722</v>
      </c>
      <c r="AF39" s="21" t="str">
        <f t="shared" si="5"/>
        <v/>
      </c>
      <c r="AG39" s="21">
        <f t="shared" si="4"/>
        <v>124.66426736657722</v>
      </c>
      <c r="AH39" s="21" t="str">
        <f t="shared" si="3"/>
        <v/>
      </c>
      <c r="AI39" s="21">
        <f t="shared" si="2"/>
        <v>124.66426736657722</v>
      </c>
      <c r="AJ39" s="50" t="str">
        <f t="shared" si="1"/>
        <v/>
      </c>
    </row>
    <row r="40" spans="6:36" x14ac:dyDescent="0.25">
      <c r="F40" s="49"/>
      <c r="N40" s="38">
        <f>M41*$H$4</f>
        <v>121.64772470172323</v>
      </c>
      <c r="P40" s="21">
        <f>N40</f>
        <v>121.64772470172323</v>
      </c>
      <c r="R40" s="21">
        <f>P40</f>
        <v>121.64772470172323</v>
      </c>
      <c r="T40" s="21">
        <f>R40</f>
        <v>121.64772470172323</v>
      </c>
      <c r="V40" s="21">
        <f>T40</f>
        <v>121.64772470172323</v>
      </c>
      <c r="X40" s="21">
        <f>V40</f>
        <v>121.64772470172323</v>
      </c>
      <c r="Z40" s="21">
        <f t="shared" si="11"/>
        <v>121.64772470172323</v>
      </c>
      <c r="AA40" s="21" t="str">
        <f t="shared" si="10"/>
        <v/>
      </c>
      <c r="AB40" s="21">
        <f t="shared" si="9"/>
        <v>121.64772470172323</v>
      </c>
      <c r="AC40" s="21" t="str">
        <f t="shared" si="8"/>
        <v/>
      </c>
      <c r="AD40" s="21">
        <f t="shared" si="7"/>
        <v>121.64772470172323</v>
      </c>
      <c r="AE40" s="21" t="str">
        <f t="shared" si="6"/>
        <v/>
      </c>
      <c r="AF40" s="21">
        <f t="shared" si="5"/>
        <v>121.64772470172323</v>
      </c>
      <c r="AG40" s="21" t="str">
        <f t="shared" si="4"/>
        <v/>
      </c>
      <c r="AH40" s="21">
        <f t="shared" si="3"/>
        <v>121.64772470172323</v>
      </c>
      <c r="AI40" s="21" t="str">
        <f t="shared" si="2"/>
        <v/>
      </c>
      <c r="AJ40" s="50">
        <f t="shared" si="1"/>
        <v>121.64772470172323</v>
      </c>
    </row>
    <row r="41" spans="6:36" x14ac:dyDescent="0.25">
      <c r="F41" s="22"/>
      <c r="G41" s="38"/>
      <c r="H41" s="38"/>
      <c r="I41" s="38"/>
      <c r="J41" s="38"/>
      <c r="K41" s="38"/>
      <c r="L41" s="38"/>
      <c r="M41" s="38">
        <f>L42*$H$4</f>
        <v>118.70417432119501</v>
      </c>
      <c r="O41" s="21">
        <f>M41</f>
        <v>118.70417432119501</v>
      </c>
      <c r="Q41" s="21">
        <f>O41</f>
        <v>118.70417432119501</v>
      </c>
      <c r="S41" s="21">
        <f>Q41</f>
        <v>118.70417432119501</v>
      </c>
      <c r="U41" s="21">
        <f>S41</f>
        <v>118.70417432119501</v>
      </c>
      <c r="W41" s="21">
        <f>U41</f>
        <v>118.70417432119501</v>
      </c>
      <c r="Y41" s="21">
        <f>W41</f>
        <v>118.70417432119501</v>
      </c>
      <c r="Z41" s="21" t="str">
        <f t="shared" si="11"/>
        <v/>
      </c>
      <c r="AA41" s="21">
        <f t="shared" si="10"/>
        <v>118.70417432119501</v>
      </c>
      <c r="AB41" s="21" t="str">
        <f t="shared" si="9"/>
        <v/>
      </c>
      <c r="AC41" s="21">
        <f t="shared" si="8"/>
        <v>118.70417432119501</v>
      </c>
      <c r="AD41" s="21" t="str">
        <f t="shared" si="7"/>
        <v/>
      </c>
      <c r="AE41" s="21">
        <f t="shared" si="6"/>
        <v>118.70417432119501</v>
      </c>
      <c r="AF41" s="21" t="str">
        <f t="shared" si="5"/>
        <v/>
      </c>
      <c r="AG41" s="21">
        <f t="shared" si="4"/>
        <v>118.70417432119501</v>
      </c>
      <c r="AH41" s="21" t="str">
        <f t="shared" si="3"/>
        <v/>
      </c>
      <c r="AI41" s="21">
        <f t="shared" si="2"/>
        <v>118.70417432119501</v>
      </c>
      <c r="AJ41" s="50" t="str">
        <f t="shared" si="1"/>
        <v/>
      </c>
    </row>
    <row r="42" spans="6:36" x14ac:dyDescent="0.25">
      <c r="F42" s="49"/>
      <c r="L42" s="38">
        <f>K43*$H$4</f>
        <v>115.83185000645597</v>
      </c>
      <c r="M42" s="55"/>
      <c r="N42" s="21">
        <f>L42</f>
        <v>115.83185000645597</v>
      </c>
      <c r="P42" s="21">
        <f>N42</f>
        <v>115.83185000645597</v>
      </c>
      <c r="R42" s="21">
        <f>P42</f>
        <v>115.83185000645597</v>
      </c>
      <c r="T42" s="21">
        <f>R42</f>
        <v>115.83185000645597</v>
      </c>
      <c r="V42" s="21">
        <f>T42</f>
        <v>115.83185000645597</v>
      </c>
      <c r="X42" s="21">
        <f>V42</f>
        <v>115.83185000645597</v>
      </c>
      <c r="Z42" s="21">
        <f t="shared" si="11"/>
        <v>115.83185000645597</v>
      </c>
      <c r="AA42" s="21" t="str">
        <f t="shared" si="10"/>
        <v/>
      </c>
      <c r="AB42" s="21">
        <f t="shared" si="9"/>
        <v>115.83185000645597</v>
      </c>
      <c r="AC42" s="21" t="str">
        <f t="shared" si="8"/>
        <v/>
      </c>
      <c r="AD42" s="21">
        <f t="shared" si="7"/>
        <v>115.83185000645597</v>
      </c>
      <c r="AE42" s="21" t="str">
        <f t="shared" si="6"/>
        <v/>
      </c>
      <c r="AF42" s="21">
        <f t="shared" si="5"/>
        <v>115.83185000645597</v>
      </c>
      <c r="AG42" s="21" t="str">
        <f t="shared" si="4"/>
        <v/>
      </c>
      <c r="AH42" s="21">
        <f t="shared" si="3"/>
        <v>115.83185000645597</v>
      </c>
      <c r="AI42" s="21" t="str">
        <f t="shared" si="2"/>
        <v/>
      </c>
      <c r="AJ42" s="50">
        <f t="shared" si="1"/>
        <v>115.83185000645597</v>
      </c>
    </row>
    <row r="43" spans="6:36" x14ac:dyDescent="0.25">
      <c r="F43" s="49"/>
      <c r="K43" s="38">
        <f>J44*$H$4</f>
        <v>113.02902827674579</v>
      </c>
      <c r="M43" s="55">
        <f>K43</f>
        <v>113.02902827674579</v>
      </c>
      <c r="O43" s="21">
        <f>M43</f>
        <v>113.02902827674579</v>
      </c>
      <c r="Q43" s="21">
        <f>O43</f>
        <v>113.02902827674579</v>
      </c>
      <c r="S43" s="21">
        <f>Q43</f>
        <v>113.02902827674579</v>
      </c>
      <c r="U43" s="21">
        <f>S43</f>
        <v>113.02902827674579</v>
      </c>
      <c r="W43" s="21">
        <f>U43</f>
        <v>113.02902827674579</v>
      </c>
      <c r="Y43" s="21">
        <f>W43</f>
        <v>113.02902827674579</v>
      </c>
      <c r="Z43" s="21" t="str">
        <f t="shared" si="11"/>
        <v/>
      </c>
      <c r="AA43" s="21">
        <f t="shared" si="10"/>
        <v>113.02902827674579</v>
      </c>
      <c r="AB43" s="21" t="str">
        <f t="shared" si="9"/>
        <v/>
      </c>
      <c r="AC43" s="21">
        <f t="shared" si="8"/>
        <v>113.02902827674579</v>
      </c>
      <c r="AD43" s="21" t="str">
        <f t="shared" si="7"/>
        <v/>
      </c>
      <c r="AE43" s="21">
        <f t="shared" si="6"/>
        <v>113.02902827674579</v>
      </c>
      <c r="AF43" s="21" t="str">
        <f t="shared" si="5"/>
        <v/>
      </c>
      <c r="AG43" s="21">
        <f t="shared" si="4"/>
        <v>113.02902827674579</v>
      </c>
      <c r="AH43" s="21" t="str">
        <f t="shared" si="3"/>
        <v/>
      </c>
      <c r="AI43" s="21">
        <f t="shared" si="2"/>
        <v>113.02902827674579</v>
      </c>
      <c r="AJ43" s="50" t="str">
        <f t="shared" si="1"/>
        <v/>
      </c>
    </row>
    <row r="44" spans="6:36" x14ac:dyDescent="0.25">
      <c r="F44" s="49"/>
      <c r="J44" s="38">
        <f>I45*$H$4</f>
        <v>110.29402735494033</v>
      </c>
      <c r="L44" s="38">
        <f>J44</f>
        <v>110.29402735494033</v>
      </c>
      <c r="M44" s="55"/>
      <c r="N44" s="21">
        <f>L44</f>
        <v>110.29402735494033</v>
      </c>
      <c r="P44" s="21">
        <f>N44</f>
        <v>110.29402735494033</v>
      </c>
      <c r="R44" s="21">
        <f>P44</f>
        <v>110.29402735494033</v>
      </c>
      <c r="T44" s="21">
        <f>R44</f>
        <v>110.29402735494033</v>
      </c>
      <c r="V44" s="21">
        <f>T44</f>
        <v>110.29402735494033</v>
      </c>
      <c r="X44" s="21">
        <f>V44</f>
        <v>110.29402735494033</v>
      </c>
      <c r="Z44" s="21">
        <f t="shared" si="11"/>
        <v>110.29402735494033</v>
      </c>
      <c r="AA44" s="21" t="str">
        <f t="shared" si="10"/>
        <v/>
      </c>
      <c r="AB44" s="21">
        <f t="shared" si="9"/>
        <v>110.29402735494033</v>
      </c>
      <c r="AC44" s="21" t="str">
        <f t="shared" si="8"/>
        <v/>
      </c>
      <c r="AD44" s="21">
        <f t="shared" si="7"/>
        <v>110.29402735494033</v>
      </c>
      <c r="AE44" s="21" t="str">
        <f t="shared" si="6"/>
        <v/>
      </c>
      <c r="AF44" s="21">
        <f t="shared" si="5"/>
        <v>110.29402735494033</v>
      </c>
      <c r="AG44" s="21" t="str">
        <f t="shared" si="4"/>
        <v/>
      </c>
      <c r="AH44" s="21">
        <f t="shared" si="3"/>
        <v>110.29402735494033</v>
      </c>
      <c r="AI44" s="21" t="str">
        <f t="shared" si="2"/>
        <v/>
      </c>
      <c r="AJ44" s="50">
        <f t="shared" si="1"/>
        <v>110.29402735494033</v>
      </c>
    </row>
    <row r="45" spans="6:36" x14ac:dyDescent="0.25">
      <c r="F45" s="22"/>
      <c r="G45" s="38"/>
      <c r="H45" s="38"/>
      <c r="I45" s="38">
        <f>H46*$H$4</f>
        <v>107.62520615843482</v>
      </c>
      <c r="K45" s="38">
        <f>I45</f>
        <v>107.62520615843482</v>
      </c>
      <c r="M45" s="55">
        <f>K45</f>
        <v>107.62520615843482</v>
      </c>
      <c r="O45" s="21">
        <f>M45</f>
        <v>107.62520615843482</v>
      </c>
      <c r="Q45" s="21">
        <f>O45</f>
        <v>107.62520615843482</v>
      </c>
      <c r="S45" s="21">
        <f>Q45</f>
        <v>107.62520615843482</v>
      </c>
      <c r="U45" s="21">
        <f>S45</f>
        <v>107.62520615843482</v>
      </c>
      <c r="W45" s="21">
        <f>U45</f>
        <v>107.62520615843482</v>
      </c>
      <c r="Y45" s="21">
        <f>W45</f>
        <v>107.62520615843482</v>
      </c>
      <c r="Z45" s="21" t="str">
        <f t="shared" si="11"/>
        <v/>
      </c>
      <c r="AA45" s="21">
        <f t="shared" si="10"/>
        <v>107.62520615843482</v>
      </c>
      <c r="AB45" s="21" t="str">
        <f t="shared" si="9"/>
        <v/>
      </c>
      <c r="AC45" s="21">
        <f t="shared" si="8"/>
        <v>107.62520615843482</v>
      </c>
      <c r="AD45" s="21" t="str">
        <f t="shared" si="7"/>
        <v/>
      </c>
      <c r="AE45" s="21">
        <f t="shared" si="6"/>
        <v>107.62520615843482</v>
      </c>
      <c r="AF45" s="21" t="str">
        <f t="shared" si="5"/>
        <v/>
      </c>
      <c r="AG45" s="21">
        <f t="shared" si="4"/>
        <v>107.62520615843482</v>
      </c>
      <c r="AH45" s="21" t="str">
        <f t="shared" si="3"/>
        <v/>
      </c>
      <c r="AI45" s="21">
        <f t="shared" si="2"/>
        <v>107.62520615843482</v>
      </c>
      <c r="AJ45" s="50" t="str">
        <f t="shared" si="1"/>
        <v/>
      </c>
    </row>
    <row r="46" spans="6:36" x14ac:dyDescent="0.25">
      <c r="F46" s="22"/>
      <c r="G46" s="38"/>
      <c r="H46" s="38">
        <f>G47*$H$4</f>
        <v>105.02096331444514</v>
      </c>
      <c r="I46" s="38"/>
      <c r="J46" s="38">
        <f>H46</f>
        <v>105.02096331444514</v>
      </c>
      <c r="L46" s="38">
        <f>J46</f>
        <v>105.02096331444514</v>
      </c>
      <c r="M46" s="55"/>
      <c r="N46" s="21">
        <f>L46</f>
        <v>105.02096331444514</v>
      </c>
      <c r="P46" s="21">
        <f>N46</f>
        <v>105.02096331444514</v>
      </c>
      <c r="R46" s="21">
        <f>P46</f>
        <v>105.02096331444514</v>
      </c>
      <c r="T46" s="21">
        <f>R46</f>
        <v>105.02096331444514</v>
      </c>
      <c r="V46" s="21">
        <f>T46</f>
        <v>105.02096331444514</v>
      </c>
      <c r="X46" s="21">
        <f>V46</f>
        <v>105.02096331444514</v>
      </c>
      <c r="Z46" s="21">
        <f t="shared" si="11"/>
        <v>105.02096331444514</v>
      </c>
      <c r="AA46" s="21" t="str">
        <f t="shared" si="10"/>
        <v/>
      </c>
      <c r="AB46" s="21">
        <f t="shared" si="9"/>
        <v>105.02096331444514</v>
      </c>
      <c r="AC46" s="21" t="str">
        <f t="shared" si="8"/>
        <v/>
      </c>
      <c r="AD46" s="21">
        <f t="shared" si="7"/>
        <v>105.02096331444514</v>
      </c>
      <c r="AE46" s="21" t="str">
        <f t="shared" si="6"/>
        <v/>
      </c>
      <c r="AF46" s="21">
        <f t="shared" si="5"/>
        <v>105.02096331444514</v>
      </c>
      <c r="AG46" s="21" t="str">
        <f t="shared" si="4"/>
        <v/>
      </c>
      <c r="AH46" s="21">
        <f t="shared" si="3"/>
        <v>105.02096331444514</v>
      </c>
      <c r="AI46" s="21" t="str">
        <f t="shared" si="2"/>
        <v/>
      </c>
      <c r="AJ46" s="50">
        <f t="shared" si="1"/>
        <v>105.02096331444514</v>
      </c>
    </row>
    <row r="47" spans="6:36" x14ac:dyDescent="0.25">
      <c r="F47" s="22"/>
      <c r="G47" s="38">
        <f>F48*$H$4</f>
        <v>102.47973619913604</v>
      </c>
      <c r="H47" s="38"/>
      <c r="I47" s="38">
        <f>G47</f>
        <v>102.47973619913604</v>
      </c>
      <c r="K47" s="38">
        <f>I47</f>
        <v>102.47973619913604</v>
      </c>
      <c r="M47" s="55">
        <f>K47</f>
        <v>102.47973619913604</v>
      </c>
      <c r="O47" s="21">
        <f>M47</f>
        <v>102.47973619913604</v>
      </c>
      <c r="Q47" s="21">
        <f>O47</f>
        <v>102.47973619913604</v>
      </c>
      <c r="S47" s="21">
        <f>Q47</f>
        <v>102.47973619913604</v>
      </c>
      <c r="U47" s="21">
        <f>S47</f>
        <v>102.47973619913604</v>
      </c>
      <c r="W47" s="21">
        <f>U47</f>
        <v>102.47973619913604</v>
      </c>
      <c r="Y47" s="21">
        <f>W47</f>
        <v>102.47973619913604</v>
      </c>
      <c r="Z47" s="21" t="str">
        <f t="shared" si="11"/>
        <v/>
      </c>
      <c r="AA47" s="21">
        <f t="shared" si="10"/>
        <v>102.47973619913604</v>
      </c>
      <c r="AB47" s="21" t="str">
        <f t="shared" si="9"/>
        <v/>
      </c>
      <c r="AC47" s="21">
        <f t="shared" si="8"/>
        <v>102.47973619913604</v>
      </c>
      <c r="AD47" s="21" t="str">
        <f t="shared" si="7"/>
        <v/>
      </c>
      <c r="AE47" s="21">
        <f t="shared" si="6"/>
        <v>102.47973619913604</v>
      </c>
      <c r="AF47" s="21" t="str">
        <f t="shared" si="5"/>
        <v/>
      </c>
      <c r="AG47" s="21">
        <f t="shared" si="4"/>
        <v>102.47973619913604</v>
      </c>
      <c r="AH47" s="21" t="str">
        <f t="shared" si="3"/>
        <v/>
      </c>
      <c r="AI47" s="21">
        <f t="shared" si="2"/>
        <v>102.47973619913604</v>
      </c>
      <c r="AJ47" s="50" t="str">
        <f t="shared" si="1"/>
        <v/>
      </c>
    </row>
    <row r="48" spans="6:36" x14ac:dyDescent="0.25">
      <c r="F48" s="22">
        <f>C1</f>
        <v>100</v>
      </c>
      <c r="G48" s="38"/>
      <c r="H48" s="38">
        <f>F48</f>
        <v>100</v>
      </c>
      <c r="I48" s="38"/>
      <c r="J48" s="38">
        <f>H48</f>
        <v>100</v>
      </c>
      <c r="L48" s="38">
        <f>J48</f>
        <v>100</v>
      </c>
      <c r="M48" s="55"/>
      <c r="N48" s="21">
        <f>L48</f>
        <v>100</v>
      </c>
      <c r="P48" s="21">
        <f>N48</f>
        <v>100</v>
      </c>
      <c r="R48" s="21">
        <f>P48</f>
        <v>100</v>
      </c>
      <c r="T48" s="21">
        <f>R48</f>
        <v>100</v>
      </c>
      <c r="V48" s="21">
        <f>T48</f>
        <v>100</v>
      </c>
      <c r="X48" s="21">
        <f>V48</f>
        <v>100</v>
      </c>
      <c r="Z48" s="21">
        <f t="shared" si="11"/>
        <v>100</v>
      </c>
      <c r="AA48" s="21" t="str">
        <f t="shared" si="10"/>
        <v/>
      </c>
      <c r="AB48" s="21">
        <f t="shared" si="9"/>
        <v>100</v>
      </c>
      <c r="AC48" s="21" t="str">
        <f t="shared" si="8"/>
        <v/>
      </c>
      <c r="AD48" s="21">
        <f t="shared" si="7"/>
        <v>100</v>
      </c>
      <c r="AE48" s="21" t="str">
        <f t="shared" si="6"/>
        <v/>
      </c>
      <c r="AF48" s="21">
        <f t="shared" si="5"/>
        <v>100</v>
      </c>
      <c r="AG48" s="21" t="str">
        <f t="shared" si="4"/>
        <v/>
      </c>
      <c r="AH48" s="21">
        <f t="shared" si="3"/>
        <v>100</v>
      </c>
      <c r="AI48" s="21" t="str">
        <f t="shared" si="2"/>
        <v/>
      </c>
      <c r="AJ48" s="50">
        <f t="shared" si="1"/>
        <v>100</v>
      </c>
    </row>
    <row r="49" spans="6:36" x14ac:dyDescent="0.25">
      <c r="F49" s="22"/>
      <c r="G49" s="38">
        <f>F48*$H$5</f>
        <v>97.580266800923965</v>
      </c>
      <c r="H49" s="38"/>
      <c r="I49" s="38">
        <f>G49</f>
        <v>97.580266800923965</v>
      </c>
      <c r="K49" s="38">
        <f>I49</f>
        <v>97.580266800923965</v>
      </c>
      <c r="M49" s="55">
        <f>K49</f>
        <v>97.580266800923965</v>
      </c>
      <c r="O49" s="21">
        <f>M49</f>
        <v>97.580266800923965</v>
      </c>
      <c r="Q49" s="21">
        <f>O49</f>
        <v>97.580266800923965</v>
      </c>
      <c r="S49" s="21">
        <f>Q49</f>
        <v>97.580266800923965</v>
      </c>
      <c r="U49" s="21">
        <f>S49</f>
        <v>97.580266800923965</v>
      </c>
      <c r="W49" s="21">
        <f>U49</f>
        <v>97.580266800923965</v>
      </c>
      <c r="Y49" s="21">
        <f>W49</f>
        <v>97.580266800923965</v>
      </c>
      <c r="Z49" s="21" t="str">
        <f t="shared" si="11"/>
        <v/>
      </c>
      <c r="AA49" s="21">
        <f t="shared" si="10"/>
        <v>97.580266800923965</v>
      </c>
      <c r="AB49" s="21" t="str">
        <f t="shared" si="9"/>
        <v/>
      </c>
      <c r="AC49" s="21">
        <f t="shared" si="8"/>
        <v>97.580266800923965</v>
      </c>
      <c r="AD49" s="21" t="str">
        <f t="shared" si="7"/>
        <v/>
      </c>
      <c r="AE49" s="21">
        <f t="shared" si="6"/>
        <v>97.580266800923965</v>
      </c>
      <c r="AF49" s="21" t="str">
        <f t="shared" si="5"/>
        <v/>
      </c>
      <c r="AG49" s="21">
        <f t="shared" si="4"/>
        <v>97.580266800923965</v>
      </c>
      <c r="AH49" s="21" t="str">
        <f t="shared" si="3"/>
        <v/>
      </c>
      <c r="AI49" s="21">
        <f t="shared" si="2"/>
        <v>97.580266800923965</v>
      </c>
      <c r="AJ49" s="50" t="str">
        <f t="shared" si="1"/>
        <v/>
      </c>
    </row>
    <row r="50" spans="6:36" x14ac:dyDescent="0.25">
      <c r="F50" s="22"/>
      <c r="G50" s="38"/>
      <c r="H50" s="38">
        <f>G49*$H$5</f>
        <v>95.219084689395032</v>
      </c>
      <c r="I50" s="38"/>
      <c r="J50" s="38">
        <f>H50</f>
        <v>95.219084689395032</v>
      </c>
      <c r="L50" s="38">
        <f>J50</f>
        <v>95.219084689395032</v>
      </c>
      <c r="M50" s="55"/>
      <c r="N50" s="21">
        <f>L50</f>
        <v>95.219084689395032</v>
      </c>
      <c r="P50" s="21">
        <f>N50</f>
        <v>95.219084689395032</v>
      </c>
      <c r="R50" s="21">
        <f>P50</f>
        <v>95.219084689395032</v>
      </c>
      <c r="T50" s="21">
        <f>R50</f>
        <v>95.219084689395032</v>
      </c>
      <c r="V50" s="21">
        <f>T50</f>
        <v>95.219084689395032</v>
      </c>
      <c r="X50" s="21">
        <f>V50</f>
        <v>95.219084689395032</v>
      </c>
      <c r="Z50" s="21">
        <f t="shared" si="11"/>
        <v>95.219084689395032</v>
      </c>
      <c r="AA50" s="21" t="str">
        <f t="shared" si="10"/>
        <v/>
      </c>
      <c r="AB50" s="21">
        <f t="shared" si="9"/>
        <v>95.219084689395032</v>
      </c>
      <c r="AC50" s="21" t="str">
        <f t="shared" si="8"/>
        <v/>
      </c>
      <c r="AD50" s="21">
        <f t="shared" si="7"/>
        <v>95.219084689395032</v>
      </c>
      <c r="AE50" s="21" t="str">
        <f t="shared" si="6"/>
        <v/>
      </c>
      <c r="AF50" s="21">
        <f t="shared" si="5"/>
        <v>95.219084689395032</v>
      </c>
      <c r="AG50" s="21" t="str">
        <f t="shared" si="4"/>
        <v/>
      </c>
      <c r="AH50" s="21">
        <f t="shared" si="3"/>
        <v>95.219084689395032</v>
      </c>
      <c r="AI50" s="21" t="str">
        <f t="shared" si="2"/>
        <v/>
      </c>
      <c r="AJ50" s="50">
        <f t="shared" si="1"/>
        <v>95.219084689395032</v>
      </c>
    </row>
    <row r="51" spans="6:36" x14ac:dyDescent="0.25">
      <c r="F51" s="22"/>
      <c r="G51" s="38"/>
      <c r="H51" s="38"/>
      <c r="I51" s="38">
        <f>H50*$H$5</f>
        <v>92.915036885309419</v>
      </c>
      <c r="K51" s="38">
        <f>I51</f>
        <v>92.915036885309419</v>
      </c>
      <c r="M51" s="55">
        <f>K51</f>
        <v>92.915036885309419</v>
      </c>
      <c r="O51" s="21">
        <f>M51</f>
        <v>92.915036885309419</v>
      </c>
      <c r="Q51" s="21">
        <f>O51</f>
        <v>92.915036885309419</v>
      </c>
      <c r="S51" s="21">
        <f>Q51</f>
        <v>92.915036885309419</v>
      </c>
      <c r="U51" s="21">
        <f>S51</f>
        <v>92.915036885309419</v>
      </c>
      <c r="W51" s="21">
        <f>U51</f>
        <v>92.915036885309419</v>
      </c>
      <c r="Y51" s="21">
        <f>W51</f>
        <v>92.915036885309419</v>
      </c>
      <c r="Z51" s="21" t="str">
        <f t="shared" si="11"/>
        <v/>
      </c>
      <c r="AA51" s="21">
        <f t="shared" si="10"/>
        <v>92.915036885309419</v>
      </c>
      <c r="AB51" s="21" t="str">
        <f t="shared" si="9"/>
        <v/>
      </c>
      <c r="AC51" s="21">
        <f t="shared" si="8"/>
        <v>92.915036885309419</v>
      </c>
      <c r="AD51" s="21" t="str">
        <f t="shared" si="7"/>
        <v/>
      </c>
      <c r="AE51" s="21">
        <f t="shared" si="6"/>
        <v>92.915036885309419</v>
      </c>
      <c r="AF51" s="21" t="str">
        <f t="shared" si="5"/>
        <v/>
      </c>
      <c r="AG51" s="21">
        <f t="shared" si="4"/>
        <v>92.915036885309419</v>
      </c>
      <c r="AH51" s="21" t="str">
        <f t="shared" si="3"/>
        <v/>
      </c>
      <c r="AI51" s="21">
        <f t="shared" si="2"/>
        <v>92.915036885309419</v>
      </c>
      <c r="AJ51" s="50" t="str">
        <f t="shared" si="1"/>
        <v/>
      </c>
    </row>
    <row r="52" spans="6:36" x14ac:dyDescent="0.25">
      <c r="F52" s="22"/>
      <c r="G52" s="38"/>
      <c r="H52" s="38"/>
      <c r="I52" s="38"/>
      <c r="J52" s="38">
        <f>I51*$H$5</f>
        <v>90.666740890861846</v>
      </c>
      <c r="L52" s="38">
        <f>J52</f>
        <v>90.666740890861846</v>
      </c>
      <c r="M52" s="55"/>
      <c r="N52" s="21">
        <f>L52</f>
        <v>90.666740890861846</v>
      </c>
      <c r="P52" s="21">
        <f>N52</f>
        <v>90.666740890861846</v>
      </c>
      <c r="R52" s="21">
        <f>P52</f>
        <v>90.666740890861846</v>
      </c>
      <c r="T52" s="21">
        <f>R52</f>
        <v>90.666740890861846</v>
      </c>
      <c r="V52" s="21">
        <f>T52</f>
        <v>90.666740890861846</v>
      </c>
      <c r="X52" s="21">
        <f>V52</f>
        <v>90.666740890861846</v>
      </c>
      <c r="Z52" s="21">
        <f t="shared" si="11"/>
        <v>90.666740890861846</v>
      </c>
      <c r="AA52" s="21" t="str">
        <f t="shared" si="10"/>
        <v/>
      </c>
      <c r="AB52" s="21">
        <f t="shared" si="9"/>
        <v>90.666740890861846</v>
      </c>
      <c r="AC52" s="21" t="str">
        <f t="shared" si="8"/>
        <v/>
      </c>
      <c r="AD52" s="21">
        <f t="shared" si="7"/>
        <v>90.666740890861846</v>
      </c>
      <c r="AE52" s="21" t="str">
        <f t="shared" si="6"/>
        <v/>
      </c>
      <c r="AF52" s="21">
        <f t="shared" si="5"/>
        <v>90.666740890861846</v>
      </c>
      <c r="AG52" s="21" t="str">
        <f t="shared" si="4"/>
        <v/>
      </c>
      <c r="AH52" s="21">
        <f t="shared" si="3"/>
        <v>90.666740890861846</v>
      </c>
      <c r="AI52" s="21" t="str">
        <f t="shared" si="2"/>
        <v/>
      </c>
      <c r="AJ52" s="50">
        <f t="shared" si="1"/>
        <v>90.666740890861846</v>
      </c>
    </row>
    <row r="53" spans="6:36" x14ac:dyDescent="0.25">
      <c r="F53" s="22"/>
      <c r="G53" s="38"/>
      <c r="H53" s="38"/>
      <c r="I53" s="38"/>
      <c r="K53" s="38">
        <f>J52*$H$5</f>
        <v>88.472847661005417</v>
      </c>
      <c r="M53" s="55">
        <f>K53</f>
        <v>88.472847661005417</v>
      </c>
      <c r="O53" s="21">
        <f>M53</f>
        <v>88.472847661005417</v>
      </c>
      <c r="Q53" s="21">
        <f>O53</f>
        <v>88.472847661005417</v>
      </c>
      <c r="S53" s="21">
        <f>Q53</f>
        <v>88.472847661005417</v>
      </c>
      <c r="U53" s="21">
        <f>S53</f>
        <v>88.472847661005417</v>
      </c>
      <c r="W53" s="21">
        <f>U53</f>
        <v>88.472847661005417</v>
      </c>
      <c r="Y53" s="21">
        <f>W53</f>
        <v>88.472847661005417</v>
      </c>
      <c r="Z53" s="21" t="str">
        <f t="shared" si="11"/>
        <v/>
      </c>
      <c r="AA53" s="21">
        <f t="shared" si="10"/>
        <v>88.472847661005417</v>
      </c>
      <c r="AB53" s="21" t="str">
        <f t="shared" si="9"/>
        <v/>
      </c>
      <c r="AC53" s="21">
        <f t="shared" si="8"/>
        <v>88.472847661005417</v>
      </c>
      <c r="AD53" s="21" t="str">
        <f t="shared" si="7"/>
        <v/>
      </c>
      <c r="AE53" s="21">
        <f t="shared" si="6"/>
        <v>88.472847661005417</v>
      </c>
      <c r="AF53" s="21" t="str">
        <f t="shared" si="5"/>
        <v/>
      </c>
      <c r="AG53" s="21">
        <f t="shared" si="4"/>
        <v>88.472847661005417</v>
      </c>
      <c r="AH53" s="21" t="str">
        <f t="shared" si="3"/>
        <v/>
      </c>
      <c r="AI53" s="21">
        <f t="shared" si="2"/>
        <v>88.472847661005417</v>
      </c>
      <c r="AJ53" s="50" t="str">
        <f t="shared" si="1"/>
        <v/>
      </c>
    </row>
    <row r="54" spans="6:36" x14ac:dyDescent="0.25">
      <c r="F54" s="22"/>
      <c r="G54" s="38"/>
      <c r="H54" s="38"/>
      <c r="I54" s="38"/>
      <c r="L54" s="38">
        <f>K53*$H$5</f>
        <v>86.332040793984106</v>
      </c>
      <c r="M54" s="55"/>
      <c r="N54" s="21">
        <f>L54</f>
        <v>86.332040793984106</v>
      </c>
      <c r="P54" s="21">
        <f>N54</f>
        <v>86.332040793984106</v>
      </c>
      <c r="R54" s="21">
        <f>P54</f>
        <v>86.332040793984106</v>
      </c>
      <c r="T54" s="21">
        <f>R54</f>
        <v>86.332040793984106</v>
      </c>
      <c r="V54" s="21">
        <f>T54</f>
        <v>86.332040793984106</v>
      </c>
      <c r="X54" s="21">
        <f>V54</f>
        <v>86.332040793984106</v>
      </c>
      <c r="Z54" s="21">
        <f t="shared" si="11"/>
        <v>86.332040793984106</v>
      </c>
      <c r="AA54" s="21" t="str">
        <f t="shared" si="10"/>
        <v/>
      </c>
      <c r="AB54" s="21">
        <f t="shared" si="9"/>
        <v>86.332040793984106</v>
      </c>
      <c r="AC54" s="21" t="str">
        <f t="shared" si="8"/>
        <v/>
      </c>
      <c r="AD54" s="21">
        <f t="shared" si="7"/>
        <v>86.332040793984106</v>
      </c>
      <c r="AE54" s="21" t="str">
        <f t="shared" si="6"/>
        <v/>
      </c>
      <c r="AF54" s="21">
        <f t="shared" si="5"/>
        <v>86.332040793984106</v>
      </c>
      <c r="AG54" s="21" t="str">
        <f t="shared" si="4"/>
        <v/>
      </c>
      <c r="AH54" s="21">
        <f t="shared" si="3"/>
        <v>86.332040793984106</v>
      </c>
      <c r="AI54" s="21" t="str">
        <f t="shared" si="2"/>
        <v/>
      </c>
      <c r="AJ54" s="50">
        <f t="shared" si="1"/>
        <v>86.332040793984106</v>
      </c>
    </row>
    <row r="55" spans="6:36" x14ac:dyDescent="0.25">
      <c r="F55" s="49"/>
      <c r="M55" s="38">
        <f>L54*$H$5</f>
        <v>84.243035741452204</v>
      </c>
      <c r="O55" s="21">
        <f>M55</f>
        <v>84.243035741452204</v>
      </c>
      <c r="Q55" s="21">
        <f>O55</f>
        <v>84.243035741452204</v>
      </c>
      <c r="S55" s="21">
        <f>Q55</f>
        <v>84.243035741452204</v>
      </c>
      <c r="U55" s="21">
        <f>S55</f>
        <v>84.243035741452204</v>
      </c>
      <c r="W55" s="21">
        <f>U55</f>
        <v>84.243035741452204</v>
      </c>
      <c r="Y55" s="21">
        <f>W55</f>
        <v>84.243035741452204</v>
      </c>
      <c r="Z55" s="21" t="str">
        <f t="shared" si="11"/>
        <v/>
      </c>
      <c r="AA55" s="21">
        <f t="shared" si="10"/>
        <v>84.243035741452204</v>
      </c>
      <c r="AB55" s="21" t="str">
        <f t="shared" si="9"/>
        <v/>
      </c>
      <c r="AC55" s="21">
        <f t="shared" si="8"/>
        <v>84.243035741452204</v>
      </c>
      <c r="AD55" s="21" t="str">
        <f t="shared" si="7"/>
        <v/>
      </c>
      <c r="AE55" s="21">
        <f t="shared" si="6"/>
        <v>84.243035741452204</v>
      </c>
      <c r="AF55" s="21" t="str">
        <f t="shared" si="5"/>
        <v/>
      </c>
      <c r="AG55" s="21">
        <f t="shared" si="4"/>
        <v>84.243035741452204</v>
      </c>
      <c r="AH55" s="21" t="str">
        <f t="shared" si="3"/>
        <v/>
      </c>
      <c r="AI55" s="21">
        <f t="shared" si="2"/>
        <v>84.243035741452204</v>
      </c>
      <c r="AJ55" s="50" t="str">
        <f t="shared" si="1"/>
        <v/>
      </c>
    </row>
    <row r="56" spans="6:36" x14ac:dyDescent="0.25">
      <c r="F56" s="49"/>
      <c r="N56" s="38">
        <f>M55*$H$5</f>
        <v>82.204579037706793</v>
      </c>
      <c r="P56" s="21">
        <f>N56</f>
        <v>82.204579037706793</v>
      </c>
      <c r="R56" s="21">
        <f>P56</f>
        <v>82.204579037706793</v>
      </c>
      <c r="T56" s="21">
        <f>R56</f>
        <v>82.204579037706793</v>
      </c>
      <c r="V56" s="21">
        <f>T56</f>
        <v>82.204579037706793</v>
      </c>
      <c r="X56" s="21">
        <f>V56</f>
        <v>82.204579037706793</v>
      </c>
      <c r="Z56" s="21">
        <f t="shared" si="11"/>
        <v>82.204579037706793</v>
      </c>
      <c r="AA56" s="21" t="str">
        <f t="shared" si="10"/>
        <v/>
      </c>
      <c r="AB56" s="21">
        <f t="shared" si="9"/>
        <v>82.204579037706793</v>
      </c>
      <c r="AC56" s="21" t="str">
        <f t="shared" si="8"/>
        <v/>
      </c>
      <c r="AD56" s="21">
        <f t="shared" si="7"/>
        <v>82.204579037706793</v>
      </c>
      <c r="AE56" s="21" t="str">
        <f t="shared" si="6"/>
        <v/>
      </c>
      <c r="AF56" s="21">
        <f t="shared" si="5"/>
        <v>82.204579037706793</v>
      </c>
      <c r="AG56" s="21" t="str">
        <f t="shared" si="4"/>
        <v/>
      </c>
      <c r="AH56" s="21">
        <f t="shared" si="3"/>
        <v>82.204579037706793</v>
      </c>
      <c r="AI56" s="21" t="str">
        <f t="shared" si="2"/>
        <v/>
      </c>
      <c r="AJ56" s="50">
        <f t="shared" si="1"/>
        <v>82.204579037706793</v>
      </c>
    </row>
    <row r="57" spans="6:36" x14ac:dyDescent="0.25">
      <c r="F57" s="49"/>
      <c r="O57" s="38">
        <f>N56*$H$5</f>
        <v>80.215447547570705</v>
      </c>
      <c r="Q57" s="21">
        <f>O57</f>
        <v>80.215447547570705</v>
      </c>
      <c r="S57" s="21">
        <f>Q57</f>
        <v>80.215447547570705</v>
      </c>
      <c r="U57" s="21">
        <f>S57</f>
        <v>80.215447547570705</v>
      </c>
      <c r="W57" s="21">
        <f>U57</f>
        <v>80.215447547570705</v>
      </c>
      <c r="Y57" s="21">
        <f>W57</f>
        <v>80.215447547570705</v>
      </c>
      <c r="Z57" s="21" t="str">
        <f t="shared" si="11"/>
        <v/>
      </c>
      <c r="AA57" s="21">
        <f t="shared" si="10"/>
        <v>80.215447547570705</v>
      </c>
      <c r="AB57" s="21" t="str">
        <f t="shared" si="9"/>
        <v/>
      </c>
      <c r="AC57" s="21">
        <f t="shared" si="8"/>
        <v>80.215447547570705</v>
      </c>
      <c r="AD57" s="21" t="str">
        <f t="shared" si="7"/>
        <v/>
      </c>
      <c r="AE57" s="21">
        <f t="shared" si="6"/>
        <v>80.215447547570705</v>
      </c>
      <c r="AF57" s="21" t="str">
        <f t="shared" si="5"/>
        <v/>
      </c>
      <c r="AG57" s="21">
        <f t="shared" si="4"/>
        <v>80.215447547570705</v>
      </c>
      <c r="AH57" s="21" t="str">
        <f t="shared" si="3"/>
        <v/>
      </c>
      <c r="AI57" s="21">
        <f t="shared" si="2"/>
        <v>80.215447547570705</v>
      </c>
      <c r="AJ57" s="50" t="str">
        <f t="shared" si="1"/>
        <v/>
      </c>
    </row>
    <row r="58" spans="6:36" x14ac:dyDescent="0.25">
      <c r="F58" s="49"/>
      <c r="P58" s="38">
        <f>O57*$H$5</f>
        <v>78.274447732474712</v>
      </c>
      <c r="R58" s="21">
        <f>P58</f>
        <v>78.274447732474712</v>
      </c>
      <c r="T58" s="21">
        <f>R58</f>
        <v>78.274447732474712</v>
      </c>
      <c r="V58" s="21">
        <f>T58</f>
        <v>78.274447732474712</v>
      </c>
      <c r="X58" s="21">
        <f>V58</f>
        <v>78.274447732474712</v>
      </c>
      <c r="Z58" s="21">
        <f t="shared" si="11"/>
        <v>78.274447732474712</v>
      </c>
      <c r="AA58" s="21" t="str">
        <f t="shared" si="10"/>
        <v/>
      </c>
      <c r="AB58" s="21">
        <f t="shared" si="9"/>
        <v>78.274447732474712</v>
      </c>
      <c r="AC58" s="21" t="str">
        <f t="shared" si="8"/>
        <v/>
      </c>
      <c r="AD58" s="21">
        <f t="shared" si="7"/>
        <v>78.274447732474712</v>
      </c>
      <c r="AE58" s="21" t="str">
        <f t="shared" si="6"/>
        <v/>
      </c>
      <c r="AF58" s="21">
        <f t="shared" si="5"/>
        <v>78.274447732474712</v>
      </c>
      <c r="AG58" s="21" t="str">
        <f t="shared" si="4"/>
        <v/>
      </c>
      <c r="AH58" s="21">
        <f t="shared" si="3"/>
        <v>78.274447732474712</v>
      </c>
      <c r="AI58" s="21" t="str">
        <f t="shared" si="2"/>
        <v/>
      </c>
      <c r="AJ58" s="50">
        <f t="shared" si="1"/>
        <v>78.274447732474712</v>
      </c>
    </row>
    <row r="59" spans="6:36" x14ac:dyDescent="0.25">
      <c r="F59" s="49"/>
      <c r="Q59" s="38">
        <f>P58*$H$5</f>
        <v>76.380414934298599</v>
      </c>
      <c r="S59" s="21">
        <f>Q59</f>
        <v>76.380414934298599</v>
      </c>
      <c r="U59" s="21">
        <f>S59</f>
        <v>76.380414934298599</v>
      </c>
      <c r="W59" s="21">
        <f>U59</f>
        <v>76.380414934298599</v>
      </c>
      <c r="Y59" s="21">
        <f>W59</f>
        <v>76.380414934298599</v>
      </c>
      <c r="Z59" s="21" t="str">
        <f t="shared" si="11"/>
        <v/>
      </c>
      <c r="AA59" s="21">
        <f t="shared" si="10"/>
        <v>76.380414934298599</v>
      </c>
      <c r="AB59" s="21" t="str">
        <f t="shared" si="9"/>
        <v/>
      </c>
      <c r="AC59" s="21">
        <f t="shared" si="8"/>
        <v>76.380414934298599</v>
      </c>
      <c r="AD59" s="21" t="str">
        <f t="shared" si="7"/>
        <v/>
      </c>
      <c r="AE59" s="21">
        <f t="shared" si="6"/>
        <v>76.380414934298599</v>
      </c>
      <c r="AF59" s="21" t="str">
        <f t="shared" si="5"/>
        <v/>
      </c>
      <c r="AG59" s="21">
        <f t="shared" si="4"/>
        <v>76.380414934298599</v>
      </c>
      <c r="AH59" s="21" t="str">
        <f t="shared" si="3"/>
        <v/>
      </c>
      <c r="AI59" s="21">
        <f t="shared" si="2"/>
        <v>76.380414934298599</v>
      </c>
      <c r="AJ59" s="50" t="str">
        <f t="shared" si="1"/>
        <v/>
      </c>
    </row>
    <row r="60" spans="6:36" x14ac:dyDescent="0.25">
      <c r="F60" s="49"/>
      <c r="R60" s="38">
        <f>Q59*$H$5</f>
        <v>74.532212676541349</v>
      </c>
      <c r="T60" s="21">
        <f>R60</f>
        <v>74.532212676541349</v>
      </c>
      <c r="V60" s="21">
        <f>T60</f>
        <v>74.532212676541349</v>
      </c>
      <c r="X60" s="21">
        <f>V60</f>
        <v>74.532212676541349</v>
      </c>
      <c r="Z60" s="21">
        <f t="shared" si="11"/>
        <v>74.532212676541349</v>
      </c>
      <c r="AA60" s="21" t="str">
        <f t="shared" si="10"/>
        <v/>
      </c>
      <c r="AB60" s="21">
        <f t="shared" si="9"/>
        <v>74.532212676541349</v>
      </c>
      <c r="AC60" s="21" t="str">
        <f t="shared" si="8"/>
        <v/>
      </c>
      <c r="AD60" s="21">
        <f t="shared" si="7"/>
        <v>74.532212676541349</v>
      </c>
      <c r="AE60" s="21" t="str">
        <f t="shared" si="6"/>
        <v/>
      </c>
      <c r="AF60" s="21">
        <f t="shared" si="5"/>
        <v>74.532212676541349</v>
      </c>
      <c r="AG60" s="21" t="str">
        <f t="shared" si="4"/>
        <v/>
      </c>
      <c r="AH60" s="21">
        <f t="shared" si="3"/>
        <v>74.532212676541349</v>
      </c>
      <c r="AI60" s="21" t="str">
        <f t="shared" si="2"/>
        <v/>
      </c>
      <c r="AJ60" s="50">
        <f t="shared" si="1"/>
        <v>74.532212676541349</v>
      </c>
    </row>
    <row r="61" spans="6:36" x14ac:dyDescent="0.25">
      <c r="F61" s="49"/>
      <c r="S61" s="38">
        <f>R60*$H$5</f>
        <v>72.728731982401115</v>
      </c>
      <c r="U61" s="21">
        <f>S61</f>
        <v>72.728731982401115</v>
      </c>
      <c r="W61" s="21">
        <f>U61</f>
        <v>72.728731982401115</v>
      </c>
      <c r="Y61" s="21">
        <f>W61</f>
        <v>72.728731982401115</v>
      </c>
      <c r="Z61" s="21" t="str">
        <f t="shared" si="11"/>
        <v/>
      </c>
      <c r="AA61" s="21">
        <f t="shared" si="10"/>
        <v>72.728731982401115</v>
      </c>
      <c r="AB61" s="21" t="str">
        <f t="shared" si="9"/>
        <v/>
      </c>
      <c r="AC61" s="21">
        <f t="shared" si="8"/>
        <v>72.728731982401115</v>
      </c>
      <c r="AD61" s="21" t="str">
        <f t="shared" si="7"/>
        <v/>
      </c>
      <c r="AE61" s="21">
        <f t="shared" si="6"/>
        <v>72.728731982401115</v>
      </c>
      <c r="AF61" s="21" t="str">
        <f t="shared" si="5"/>
        <v/>
      </c>
      <c r="AG61" s="21">
        <f t="shared" si="4"/>
        <v>72.728731982401115</v>
      </c>
      <c r="AH61" s="21" t="str">
        <f t="shared" si="3"/>
        <v/>
      </c>
      <c r="AI61" s="21">
        <f t="shared" si="2"/>
        <v>72.728731982401115</v>
      </c>
      <c r="AJ61" s="50" t="str">
        <f t="shared" si="1"/>
        <v/>
      </c>
    </row>
    <row r="62" spans="6:36" x14ac:dyDescent="0.25">
      <c r="F62" s="49"/>
      <c r="T62" s="38">
        <f>S61*$H$5</f>
        <v>70.968890709355918</v>
      </c>
      <c r="V62" s="21">
        <f>T62</f>
        <v>70.968890709355918</v>
      </c>
      <c r="X62" s="21">
        <f>V62</f>
        <v>70.968890709355918</v>
      </c>
      <c r="Z62" s="21">
        <f t="shared" si="11"/>
        <v>70.968890709355918</v>
      </c>
      <c r="AA62" s="21" t="str">
        <f t="shared" si="10"/>
        <v/>
      </c>
      <c r="AB62" s="21">
        <f t="shared" si="9"/>
        <v>70.968890709355918</v>
      </c>
      <c r="AC62" s="21" t="str">
        <f t="shared" si="8"/>
        <v/>
      </c>
      <c r="AD62" s="21">
        <f t="shared" si="7"/>
        <v>70.968890709355918</v>
      </c>
      <c r="AE62" s="21" t="str">
        <f t="shared" si="6"/>
        <v/>
      </c>
      <c r="AF62" s="21">
        <f t="shared" si="5"/>
        <v>70.968890709355918</v>
      </c>
      <c r="AG62" s="21" t="str">
        <f t="shared" si="4"/>
        <v/>
      </c>
      <c r="AH62" s="21">
        <f t="shared" si="3"/>
        <v>70.968890709355918</v>
      </c>
      <c r="AI62" s="21" t="str">
        <f t="shared" si="2"/>
        <v/>
      </c>
      <c r="AJ62" s="50">
        <f t="shared" si="1"/>
        <v>70.968890709355918</v>
      </c>
    </row>
    <row r="63" spans="6:36" x14ac:dyDescent="0.25">
      <c r="F63" s="49"/>
      <c r="U63" s="38">
        <f>T62*$H$5</f>
        <v>69.251632899845646</v>
      </c>
      <c r="W63" s="21">
        <f>U63</f>
        <v>69.251632899845646</v>
      </c>
      <c r="Y63" s="21">
        <f>W63</f>
        <v>69.251632899845646</v>
      </c>
      <c r="Z63" s="21" t="str">
        <f t="shared" si="11"/>
        <v/>
      </c>
      <c r="AA63" s="21">
        <f t="shared" si="10"/>
        <v>69.251632899845646</v>
      </c>
      <c r="AB63" s="21" t="str">
        <f t="shared" si="9"/>
        <v/>
      </c>
      <c r="AC63" s="21">
        <f t="shared" si="8"/>
        <v>69.251632899845646</v>
      </c>
      <c r="AD63" s="21" t="str">
        <f t="shared" si="7"/>
        <v/>
      </c>
      <c r="AE63" s="21">
        <f t="shared" si="6"/>
        <v>69.251632899845646</v>
      </c>
      <c r="AF63" s="21" t="str">
        <f t="shared" si="5"/>
        <v/>
      </c>
      <c r="AG63" s="21">
        <f t="shared" si="4"/>
        <v>69.251632899845646</v>
      </c>
      <c r="AH63" s="21" t="str">
        <f t="shared" si="3"/>
        <v/>
      </c>
      <c r="AI63" s="21">
        <f t="shared" si="2"/>
        <v>69.251632899845646</v>
      </c>
      <c r="AJ63" s="50" t="str">
        <f t="shared" si="1"/>
        <v/>
      </c>
    </row>
    <row r="64" spans="6:36" x14ac:dyDescent="0.25">
      <c r="F64" s="49"/>
      <c r="V64" s="38">
        <f>U63*$H$5</f>
        <v>67.57592814766582</v>
      </c>
      <c r="X64" s="21">
        <f>V64</f>
        <v>67.57592814766582</v>
      </c>
      <c r="Z64" s="21">
        <f t="shared" si="11"/>
        <v>67.57592814766582</v>
      </c>
      <c r="AA64" s="21" t="str">
        <f t="shared" si="10"/>
        <v/>
      </c>
      <c r="AB64" s="21">
        <f t="shared" si="9"/>
        <v>67.57592814766582</v>
      </c>
      <c r="AC64" s="21" t="str">
        <f t="shared" si="8"/>
        <v/>
      </c>
      <c r="AD64" s="21">
        <f t="shared" si="7"/>
        <v>67.57592814766582</v>
      </c>
      <c r="AE64" s="21" t="str">
        <f t="shared" si="6"/>
        <v/>
      </c>
      <c r="AF64" s="21">
        <f t="shared" si="5"/>
        <v>67.57592814766582</v>
      </c>
      <c r="AG64" s="21" t="str">
        <f t="shared" si="4"/>
        <v/>
      </c>
      <c r="AH64" s="21">
        <f t="shared" si="3"/>
        <v>67.57592814766582</v>
      </c>
      <c r="AI64" s="21" t="str">
        <f t="shared" si="2"/>
        <v/>
      </c>
      <c r="AJ64" s="50">
        <f t="shared" si="1"/>
        <v>67.57592814766582</v>
      </c>
    </row>
    <row r="65" spans="6:43" x14ac:dyDescent="0.25">
      <c r="F65" s="49"/>
      <c r="W65" s="38">
        <f>V64*$H$5</f>
        <v>65.940770979692985</v>
      </c>
      <c r="Y65" s="21">
        <f>W65</f>
        <v>65.940770979692985</v>
      </c>
      <c r="Z65" s="21" t="str">
        <f t="shared" si="11"/>
        <v/>
      </c>
      <c r="AA65" s="21">
        <f t="shared" si="10"/>
        <v>65.940770979692985</v>
      </c>
      <c r="AB65" s="21" t="str">
        <f t="shared" si="9"/>
        <v/>
      </c>
      <c r="AC65" s="21">
        <f t="shared" si="8"/>
        <v>65.940770979692985</v>
      </c>
      <c r="AD65" s="21" t="str">
        <f t="shared" si="7"/>
        <v/>
      </c>
      <c r="AE65" s="21">
        <f t="shared" si="6"/>
        <v>65.940770979692985</v>
      </c>
      <c r="AF65" s="21" t="str">
        <f t="shared" si="5"/>
        <v/>
      </c>
      <c r="AG65" s="21">
        <f t="shared" si="4"/>
        <v>65.940770979692985</v>
      </c>
      <c r="AH65" s="21" t="str">
        <f t="shared" si="3"/>
        <v/>
      </c>
      <c r="AI65" s="21">
        <f t="shared" si="2"/>
        <v>65.940770979692985</v>
      </c>
      <c r="AJ65" s="50" t="str">
        <f t="shared" si="1"/>
        <v/>
      </c>
    </row>
    <row r="66" spans="6:43" x14ac:dyDescent="0.25">
      <c r="F66" s="49"/>
      <c r="X66" s="38">
        <f>W65*$H$5</f>
        <v>64.345180252570657</v>
      </c>
      <c r="Z66" s="21">
        <f t="shared" si="11"/>
        <v>64.345180252570657</v>
      </c>
      <c r="AA66" s="21" t="str">
        <f t="shared" si="10"/>
        <v/>
      </c>
      <c r="AB66" s="21">
        <f t="shared" si="9"/>
        <v>64.345180252570657</v>
      </c>
      <c r="AC66" s="21" t="str">
        <f t="shared" si="8"/>
        <v/>
      </c>
      <c r="AD66" s="21">
        <f t="shared" si="7"/>
        <v>64.345180252570657</v>
      </c>
      <c r="AE66" s="21" t="str">
        <f t="shared" si="6"/>
        <v/>
      </c>
      <c r="AF66" s="21">
        <f t="shared" si="5"/>
        <v>64.345180252570657</v>
      </c>
      <c r="AG66" s="21" t="str">
        <f t="shared" si="4"/>
        <v/>
      </c>
      <c r="AH66" s="21">
        <f t="shared" si="3"/>
        <v>64.345180252570657</v>
      </c>
      <c r="AI66" s="21" t="str">
        <f t="shared" si="2"/>
        <v/>
      </c>
      <c r="AJ66" s="50">
        <f t="shared" si="1"/>
        <v>64.345180252570657</v>
      </c>
    </row>
    <row r="67" spans="6:43" x14ac:dyDescent="0.25">
      <c r="F67" s="49"/>
      <c r="Y67" s="38">
        <f>X66*$H$5</f>
        <v>62.788198563993888</v>
      </c>
      <c r="AA67" s="21">
        <f t="shared" si="11"/>
        <v>62.788198563993888</v>
      </c>
      <c r="AB67" s="21" t="str">
        <f t="shared" si="9"/>
        <v/>
      </c>
      <c r="AC67" s="21">
        <f t="shared" si="8"/>
        <v>62.788198563993888</v>
      </c>
      <c r="AD67" s="21" t="str">
        <f t="shared" si="7"/>
        <v/>
      </c>
      <c r="AE67" s="21">
        <f t="shared" si="6"/>
        <v>62.788198563993888</v>
      </c>
      <c r="AF67" s="21" t="str">
        <f t="shared" si="5"/>
        <v/>
      </c>
      <c r="AG67" s="21">
        <f t="shared" si="4"/>
        <v>62.788198563993888</v>
      </c>
      <c r="AH67" s="21" t="str">
        <f t="shared" si="3"/>
        <v/>
      </c>
      <c r="AI67" s="21">
        <f t="shared" si="2"/>
        <v>62.788198563993888</v>
      </c>
      <c r="AJ67" s="50" t="str">
        <f t="shared" si="1"/>
        <v/>
      </c>
    </row>
    <row r="68" spans="6:43" x14ac:dyDescent="0.25">
      <c r="F68" s="49"/>
      <c r="Z68" s="38">
        <f>Y67*$H$5</f>
        <v>61.268891678239143</v>
      </c>
      <c r="AB68" s="21">
        <f t="shared" si="9"/>
        <v>61.268891678239143</v>
      </c>
      <c r="AC68" s="21" t="str">
        <f t="shared" si="8"/>
        <v/>
      </c>
      <c r="AD68" s="21">
        <f t="shared" si="7"/>
        <v>61.268891678239143</v>
      </c>
      <c r="AE68" s="21" t="str">
        <f t="shared" si="6"/>
        <v/>
      </c>
      <c r="AF68" s="21">
        <f t="shared" si="5"/>
        <v>61.268891678239143</v>
      </c>
      <c r="AG68" s="21" t="str">
        <f t="shared" si="4"/>
        <v/>
      </c>
      <c r="AH68" s="21">
        <f t="shared" si="3"/>
        <v>61.268891678239143</v>
      </c>
      <c r="AI68" s="21" t="str">
        <f t="shared" si="2"/>
        <v/>
      </c>
      <c r="AJ68" s="50">
        <f t="shared" si="1"/>
        <v>61.268891678239143</v>
      </c>
    </row>
    <row r="69" spans="6:43" x14ac:dyDescent="0.25">
      <c r="F69" s="49"/>
      <c r="AA69" s="38">
        <f>Z68*$H$5</f>
        <v>59.786347965594857</v>
      </c>
      <c r="AC69" s="21">
        <f t="shared" si="8"/>
        <v>59.786347965594857</v>
      </c>
      <c r="AD69" s="21" t="str">
        <f t="shared" si="7"/>
        <v/>
      </c>
      <c r="AE69" s="21">
        <f t="shared" si="6"/>
        <v>59.786347965594857</v>
      </c>
      <c r="AF69" s="21" t="str">
        <f t="shared" si="5"/>
        <v/>
      </c>
      <c r="AG69" s="21">
        <f t="shared" si="4"/>
        <v>59.786347965594857</v>
      </c>
      <c r="AH69" s="21" t="str">
        <f t="shared" si="3"/>
        <v/>
      </c>
      <c r="AI69" s="21">
        <f t="shared" si="2"/>
        <v>59.786347965594857</v>
      </c>
      <c r="AJ69" s="50" t="str">
        <f t="shared" si="1"/>
        <v/>
      </c>
    </row>
    <row r="70" spans="6:43" x14ac:dyDescent="0.25">
      <c r="F70" s="49"/>
      <c r="AB70" s="38">
        <f>AA69*$H$5</f>
        <v>58.339677855356236</v>
      </c>
      <c r="AD70" s="21">
        <f t="shared" si="7"/>
        <v>58.339677855356236</v>
      </c>
      <c r="AE70" s="21" t="str">
        <f t="shared" si="6"/>
        <v/>
      </c>
      <c r="AF70" s="21">
        <f t="shared" si="5"/>
        <v>58.339677855356236</v>
      </c>
      <c r="AG70" s="21" t="str">
        <f t="shared" si="4"/>
        <v/>
      </c>
      <c r="AH70" s="21">
        <f t="shared" si="3"/>
        <v>58.339677855356236</v>
      </c>
      <c r="AI70" s="21" t="str">
        <f t="shared" si="2"/>
        <v/>
      </c>
      <c r="AJ70" s="50">
        <f t="shared" si="1"/>
        <v>58.339677855356236</v>
      </c>
    </row>
    <row r="71" spans="6:43" x14ac:dyDescent="0.25">
      <c r="F71" s="49"/>
      <c r="AC71" s="38">
        <f>AB70*$H$5</f>
        <v>56.928013302056172</v>
      </c>
      <c r="AE71" s="21">
        <f t="shared" si="6"/>
        <v>56.928013302056172</v>
      </c>
      <c r="AF71" s="21" t="str">
        <f t="shared" si="5"/>
        <v/>
      </c>
      <c r="AG71" s="21">
        <f t="shared" si="4"/>
        <v>56.928013302056172</v>
      </c>
      <c r="AH71" s="21" t="str">
        <f t="shared" si="3"/>
        <v/>
      </c>
      <c r="AI71" s="21">
        <f t="shared" si="2"/>
        <v>56.928013302056172</v>
      </c>
      <c r="AJ71" s="50" t="str">
        <f t="shared" si="1"/>
        <v/>
      </c>
    </row>
    <row r="72" spans="6:43" x14ac:dyDescent="0.25">
      <c r="F72" s="49"/>
      <c r="AD72" s="38">
        <f>AC71*$H$5</f>
        <v>55.550507264611895</v>
      </c>
      <c r="AF72" s="21">
        <f t="shared" si="5"/>
        <v>55.550507264611895</v>
      </c>
      <c r="AG72" s="21" t="str">
        <f t="shared" si="4"/>
        <v/>
      </c>
      <c r="AH72" s="21">
        <f t="shared" si="3"/>
        <v>55.550507264611895</v>
      </c>
      <c r="AI72" s="21" t="str">
        <f t="shared" si="2"/>
        <v/>
      </c>
      <c r="AJ72" s="50">
        <f t="shared" si="1"/>
        <v>55.550507264611895</v>
      </c>
    </row>
    <row r="73" spans="6:43" x14ac:dyDescent="0.25">
      <c r="F73" s="49"/>
      <c r="AE73" s="38">
        <f>AD72*$H$5</f>
        <v>54.206333198074937</v>
      </c>
      <c r="AG73" s="21">
        <f t="shared" si="4"/>
        <v>54.206333198074937</v>
      </c>
      <c r="AH73" s="21" t="str">
        <f t="shared" si="3"/>
        <v/>
      </c>
      <c r="AI73" s="21">
        <f t="shared" si="2"/>
        <v>54.206333198074937</v>
      </c>
      <c r="AJ73" s="50" t="str">
        <f t="shared" si="1"/>
        <v/>
      </c>
    </row>
    <row r="74" spans="6:43" x14ac:dyDescent="0.25">
      <c r="F74" s="49"/>
      <c r="AF74" s="38">
        <f>AE73*$H$5</f>
        <v>52.894684557679341</v>
      </c>
      <c r="AH74" s="21">
        <f t="shared" si="3"/>
        <v>52.894684557679341</v>
      </c>
      <c r="AI74" s="21" t="str">
        <f t="shared" si="2"/>
        <v/>
      </c>
      <c r="AJ74" s="50">
        <f t="shared" si="1"/>
        <v>52.894684557679341</v>
      </c>
    </row>
    <row r="75" spans="6:43" x14ac:dyDescent="0.25">
      <c r="F75" s="49"/>
      <c r="AG75" s="38">
        <f>AF74*$H$5</f>
        <v>51.614774314890632</v>
      </c>
      <c r="AI75" s="21">
        <f t="shared" si="2"/>
        <v>51.614774314890632</v>
      </c>
      <c r="AJ75" s="50" t="str">
        <f t="shared" si="1"/>
        <v/>
      </c>
    </row>
    <row r="76" spans="6:43" x14ac:dyDescent="0.25">
      <c r="F76" s="49"/>
      <c r="AH76" s="38">
        <f>AG75*$H$5</f>
        <v>50.365834485165053</v>
      </c>
      <c r="AJ76" s="50">
        <f t="shared" si="1"/>
        <v>50.365834485165053</v>
      </c>
    </row>
    <row r="77" spans="6:43" x14ac:dyDescent="0.25">
      <c r="F77" s="49"/>
      <c r="AI77" s="38">
        <f>AH76*$H$5</f>
        <v>49.147115667135829</v>
      </c>
      <c r="AJ77" s="50"/>
    </row>
    <row r="78" spans="6:43" x14ac:dyDescent="0.25">
      <c r="F78" s="53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23">
        <f>AI77*$H$5</f>
        <v>47.957886592949841</v>
      </c>
    </row>
    <row r="79" spans="6:43" x14ac:dyDescent="0.25">
      <c r="F79" s="42">
        <v>0</v>
      </c>
      <c r="G79" s="42">
        <f>F79+$H$3</f>
        <v>6.6666666666666671E-3</v>
      </c>
      <c r="H79" s="42">
        <f>G79+$H$3</f>
        <v>1.3333333333333334E-2</v>
      </c>
      <c r="I79" s="42">
        <f t="shared" ref="I79:AJ79" si="12">H79+$H$3</f>
        <v>0.02</v>
      </c>
      <c r="J79" s="42">
        <f t="shared" si="12"/>
        <v>2.6666666666666668E-2</v>
      </c>
      <c r="K79" s="42">
        <f t="shared" si="12"/>
        <v>3.3333333333333333E-2</v>
      </c>
      <c r="L79" s="42">
        <f t="shared" si="12"/>
        <v>0.04</v>
      </c>
      <c r="M79" s="42">
        <f t="shared" si="12"/>
        <v>4.6666666666666669E-2</v>
      </c>
      <c r="N79" s="42">
        <f t="shared" si="12"/>
        <v>5.3333333333333337E-2</v>
      </c>
      <c r="O79" s="42">
        <f t="shared" si="12"/>
        <v>6.0000000000000005E-2</v>
      </c>
      <c r="P79" s="42">
        <f t="shared" si="12"/>
        <v>6.6666666666666666E-2</v>
      </c>
      <c r="Q79" s="42">
        <f t="shared" si="12"/>
        <v>7.3333333333333334E-2</v>
      </c>
      <c r="R79" s="42">
        <f t="shared" si="12"/>
        <v>0.08</v>
      </c>
      <c r="S79" s="42">
        <f t="shared" si="12"/>
        <v>8.666666666666667E-2</v>
      </c>
      <c r="T79" s="42">
        <f t="shared" si="12"/>
        <v>9.3333333333333338E-2</v>
      </c>
      <c r="U79" s="42">
        <f t="shared" si="12"/>
        <v>0.1</v>
      </c>
      <c r="V79" s="42">
        <f t="shared" si="12"/>
        <v>0.10666666666666667</v>
      </c>
      <c r="W79" s="42">
        <f t="shared" si="12"/>
        <v>0.11333333333333334</v>
      </c>
      <c r="X79" s="42">
        <f t="shared" si="12"/>
        <v>0.12000000000000001</v>
      </c>
      <c r="Y79" s="42">
        <f t="shared" si="12"/>
        <v>0.12666666666666668</v>
      </c>
      <c r="Z79" s="42">
        <f t="shared" si="12"/>
        <v>0.13333333333333333</v>
      </c>
      <c r="AA79" s="42">
        <f t="shared" si="12"/>
        <v>0.13999999999999999</v>
      </c>
      <c r="AB79" s="42">
        <f t="shared" si="12"/>
        <v>0.14666666666666664</v>
      </c>
      <c r="AC79" s="42">
        <f t="shared" si="12"/>
        <v>0.15333333333333329</v>
      </c>
      <c r="AD79" s="42">
        <f t="shared" si="12"/>
        <v>0.15999999999999995</v>
      </c>
      <c r="AE79" s="42">
        <f t="shared" si="12"/>
        <v>0.1666666666666666</v>
      </c>
      <c r="AF79" s="42">
        <f t="shared" si="12"/>
        <v>0.17333333333333326</v>
      </c>
      <c r="AG79" s="42">
        <f t="shared" si="12"/>
        <v>0.17999999999999991</v>
      </c>
      <c r="AH79" s="42">
        <f t="shared" si="12"/>
        <v>0.18666666666666656</v>
      </c>
      <c r="AI79" s="42">
        <f t="shared" si="12"/>
        <v>0.19333333333333322</v>
      </c>
      <c r="AJ79" s="42">
        <f t="shared" si="12"/>
        <v>0.19999999999999987</v>
      </c>
      <c r="AL79" s="21" t="s">
        <v>2</v>
      </c>
      <c r="AM79" s="21" t="s">
        <v>3</v>
      </c>
      <c r="AN79" s="21" t="s">
        <v>64</v>
      </c>
      <c r="AO79" s="21" t="s">
        <v>65</v>
      </c>
      <c r="AP79" s="21" t="s">
        <v>69</v>
      </c>
      <c r="AQ79" s="21" t="s">
        <v>70</v>
      </c>
    </row>
    <row r="80" spans="6:43" x14ac:dyDescent="0.25">
      <c r="F80" s="47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52">
        <f>IF(AL80&lt;&gt;"",MAX(AP80,AQ80),"")</f>
        <v>98.906834214364608</v>
      </c>
      <c r="AL80" s="21">
        <f>IF(AJ18&lt;&gt;"",(LN(AJ18/$D$2)+($C$3-$C$4+0.5*$C$5*$C$5)*0.3)/($C$5*SQRT(0.3)),"")</f>
        <v>4.0290273117236453</v>
      </c>
      <c r="AM80" s="21">
        <f>IF(AJ18&lt;&gt;"",AL80-$C$5*SQRT(0.3),"")</f>
        <v>3.8647105444720955</v>
      </c>
      <c r="AN80" s="21">
        <f>IF(AJ18&lt;&gt;"",(LN(AJ18/$C$2)+($C$3-$C$4+0.5*$C$5*$C$5)*0.3)/($C$5*SQRT(0.3)),"")</f>
        <v>5.2502702732221982</v>
      </c>
      <c r="AO80" s="21">
        <f>IF(AJ18&lt;&gt;"",AN80-$C$5*SQRT(0.3),"")</f>
        <v>5.0859535059706484</v>
      </c>
      <c r="AP80" s="21">
        <f>IF(AJ18&lt;&gt;"",AJ18*EXP(-$C$4*0.3)*NORMSDIST(AL80)-$D$2*EXP(-$C$3*0.3)*NORMSDIST(AM80),"")</f>
        <v>98.906834214364608</v>
      </c>
      <c r="AQ80" s="21">
        <f>IF(AJ18&lt;&gt;"",-AJ18*EXP(-$C$4*0.3)*NORMSDIST(-AN80)+$C$2*EXP(-$C$3*0.3)*NORMSDIST(-AO80),"")</f>
        <v>4.7559432119747153E-7</v>
      </c>
    </row>
    <row r="81" spans="6:43" x14ac:dyDescent="0.25">
      <c r="F81" s="49"/>
      <c r="AI81" s="21">
        <f>IF(AJ80&lt;&gt;"",EXP(-$C$3*$H$3)*($H$6*AJ80+(1-$H$6)*AJ82),"")</f>
        <v>93.900902542477994</v>
      </c>
      <c r="AJ81" s="52" t="str">
        <f t="shared" ref="AJ81:AJ140" si="13">IF(AL81&lt;&gt;"",MAX(AP81,AQ81),"")</f>
        <v/>
      </c>
      <c r="AL81" s="21" t="str">
        <f t="shared" ref="AL81:AL140" si="14">IF(AJ19&lt;&gt;"",(LN(AJ19/$D$2)+($C$3-$C$4+0.5*$C$5*$C$5)*0.3)/($C$5*SQRT(0.3)),"")</f>
        <v/>
      </c>
      <c r="AM81" s="21" t="str">
        <f t="shared" ref="AM81:AM140" si="15">IF(AJ19&lt;&gt;"",AL81-$C$5*SQRT(0.3),"")</f>
        <v/>
      </c>
      <c r="AN81" s="21" t="str">
        <f t="shared" ref="AN81:AN140" si="16">IF(AJ19&lt;&gt;"",(LN(AJ19/$C$2)+($C$3-$C$4+0.5*$C$5*$C$5)*0.3)/($C$5*SQRT(0.3)),"")</f>
        <v/>
      </c>
      <c r="AO81" s="21" t="str">
        <f t="shared" ref="AO81:AO140" si="17">IF(AJ19&lt;&gt;"",AN81-$C$5*SQRT(0.3),"")</f>
        <v/>
      </c>
      <c r="AP81" s="21" t="str">
        <f t="shared" ref="AP81:AP140" si="18">IF(AJ19&lt;&gt;"",AJ19*EXP(-$C$4*0.3)*NORMSDIST(AL81)-$D$2*EXP(-$C$3*0.3)*NORMSDIST(AM81),"")</f>
        <v/>
      </c>
      <c r="AQ81" s="21" t="str">
        <f t="shared" ref="AQ81:AQ140" si="19">IF(AJ19&lt;&gt;"",-AJ19*EXP(-$C$4*0.3)*NORMSDIST(-AN81)+$C$2*EXP(-$C$3*0.3)*NORMSDIST(-AO81),"")</f>
        <v/>
      </c>
    </row>
    <row r="82" spans="6:43" x14ac:dyDescent="0.25">
      <c r="F82" s="49"/>
      <c r="AH82" s="21">
        <f>IF(AI81&lt;&gt;"",EXP(-$C$3*$H$3)*($H$6*AI81+(1-$H$6)*AI83),"")</f>
        <v>89.017912184485724</v>
      </c>
      <c r="AI82" s="21" t="str">
        <f t="shared" ref="AI82:AI139" si="20">IF(AJ81&lt;&gt;"",EXP(-$C$3*$H$3)*($H$6*AJ81+(1-$H$6)*AJ83),"")</f>
        <v/>
      </c>
      <c r="AJ82" s="52">
        <f t="shared" si="13"/>
        <v>88.998028369534083</v>
      </c>
      <c r="AL82" s="21">
        <f t="shared" si="14"/>
        <v>3.7308849147236711</v>
      </c>
      <c r="AM82" s="21">
        <f t="shared" si="15"/>
        <v>3.5665681474721214</v>
      </c>
      <c r="AN82" s="21">
        <f t="shared" si="16"/>
        <v>4.9521278762222236</v>
      </c>
      <c r="AO82" s="21">
        <f t="shared" si="17"/>
        <v>4.7878111089706739</v>
      </c>
      <c r="AP82" s="21">
        <f t="shared" si="18"/>
        <v>88.998028369534083</v>
      </c>
      <c r="AQ82" s="21">
        <f t="shared" si="19"/>
        <v>2.307760652900818E-6</v>
      </c>
    </row>
    <row r="83" spans="6:43" x14ac:dyDescent="0.25">
      <c r="F83" s="49"/>
      <c r="AG83" s="21">
        <f>IF(AH82&lt;&gt;"",EXP(-$C$3*$H$3)*($H$6*AH82+(1-$H$6)*AH84),"")</f>
        <v>84.255126385703861</v>
      </c>
      <c r="AH83" s="21" t="str">
        <f t="shared" ref="AH83:AH138" si="21">IF(AI82&lt;&gt;"",EXP(-$C$3*$H$3)*($H$6*AI82+(1-$H$6)*AI84),"")</f>
        <v/>
      </c>
      <c r="AI83" s="21">
        <f t="shared" si="20"/>
        <v>84.233737111031616</v>
      </c>
      <c r="AJ83" s="52" t="str">
        <f t="shared" si="13"/>
        <v/>
      </c>
      <c r="AL83" s="21" t="str">
        <f t="shared" si="14"/>
        <v/>
      </c>
      <c r="AM83" s="21" t="str">
        <f t="shared" si="15"/>
        <v/>
      </c>
      <c r="AN83" s="21" t="str">
        <f t="shared" si="16"/>
        <v/>
      </c>
      <c r="AO83" s="21" t="str">
        <f t="shared" si="17"/>
        <v/>
      </c>
      <c r="AP83" s="21" t="str">
        <f t="shared" si="18"/>
        <v/>
      </c>
      <c r="AQ83" s="21" t="str">
        <f t="shared" si="19"/>
        <v/>
      </c>
    </row>
    <row r="84" spans="6:43" x14ac:dyDescent="0.25">
      <c r="F84" s="49"/>
      <c r="AF84" s="21">
        <f>IF(AG83&lt;&gt;"",EXP(-$C$3*$H$3)*($H$6*AG83+(1-$H$6)*AG85),"")</f>
        <v>79.610049417029316</v>
      </c>
      <c r="AG84" s="21" t="str">
        <f t="shared" ref="AG84:AG137" si="22">IF(AH83&lt;&gt;"",EXP(-$C$3*$H$3)*($H$6*AH83+(1-$H$6)*AH85),"")</f>
        <v/>
      </c>
      <c r="AH84" s="21">
        <f t="shared" si="21"/>
        <v>79.58701573228474</v>
      </c>
      <c r="AI84" s="21" t="str">
        <f t="shared" si="20"/>
        <v/>
      </c>
      <c r="AJ84" s="52">
        <f t="shared" si="13"/>
        <v>79.564119034197489</v>
      </c>
      <c r="AL84" s="21">
        <f t="shared" si="14"/>
        <v>3.4327425177236983</v>
      </c>
      <c r="AM84" s="21">
        <f t="shared" si="15"/>
        <v>3.2684257504721486</v>
      </c>
      <c r="AN84" s="21">
        <f t="shared" si="16"/>
        <v>4.6539854792222508</v>
      </c>
      <c r="AO84" s="21">
        <f t="shared" si="17"/>
        <v>4.4896687119707011</v>
      </c>
      <c r="AP84" s="21">
        <f t="shared" si="18"/>
        <v>79.564119034197489</v>
      </c>
      <c r="AQ84" s="21">
        <f t="shared" si="19"/>
        <v>1.0302814454397219E-5</v>
      </c>
    </row>
    <row r="85" spans="6:43" x14ac:dyDescent="0.25">
      <c r="F85" s="49"/>
      <c r="AE85" s="21">
        <f>IF(AF84&lt;&gt;"",EXP(-$C$3*$H$3)*($H$6*AF84+(1-$H$6)*AF86),"")</f>
        <v>75.080507404226182</v>
      </c>
      <c r="AF85" s="21" t="str">
        <f t="shared" ref="AF85:AF136" si="23">IF(AG84&lt;&gt;"",EXP(-$C$3*$H$3)*($H$6*AG84+(1-$H$6)*AG86),"")</f>
        <v/>
      </c>
      <c r="AG85" s="21">
        <f t="shared" si="22"/>
        <v>75.0556059127682</v>
      </c>
      <c r="AH85" s="21" t="str">
        <f t="shared" si="21"/>
        <v/>
      </c>
      <c r="AI85" s="21">
        <f t="shared" si="20"/>
        <v>75.03092589200142</v>
      </c>
      <c r="AJ85" s="52" t="str">
        <f t="shared" si="13"/>
        <v/>
      </c>
      <c r="AL85" s="21" t="str">
        <f t="shared" si="14"/>
        <v/>
      </c>
      <c r="AM85" s="21" t="str">
        <f t="shared" si="15"/>
        <v/>
      </c>
      <c r="AN85" s="21" t="str">
        <f t="shared" si="16"/>
        <v/>
      </c>
      <c r="AO85" s="21" t="str">
        <f t="shared" si="17"/>
        <v/>
      </c>
      <c r="AP85" s="21" t="str">
        <f t="shared" si="18"/>
        <v/>
      </c>
      <c r="AQ85" s="21" t="str">
        <f t="shared" si="19"/>
        <v/>
      </c>
    </row>
    <row r="86" spans="6:43" x14ac:dyDescent="0.25">
      <c r="F86" s="49"/>
      <c r="AD86" s="21">
        <f>IF(AE85&lt;&gt;"",EXP(-$C$3*$H$3)*($H$6*AE85+(1-$H$6)*AE87),"")</f>
        <v>70.664751251975147</v>
      </c>
      <c r="AE86" s="21" t="str">
        <f t="shared" ref="AE86:AE135" si="24">IF(AF85&lt;&gt;"",EXP(-$C$3*$H$3)*($H$6*AF85+(1-$H$6)*AF87),"")</f>
        <v/>
      </c>
      <c r="AF86" s="21">
        <f t="shared" si="23"/>
        <v>70.637651572656623</v>
      </c>
      <c r="AG86" s="21" t="str">
        <f t="shared" si="22"/>
        <v/>
      </c>
      <c r="AH86" s="21">
        <f t="shared" si="21"/>
        <v>70.610880924524565</v>
      </c>
      <c r="AI86" s="21" t="str">
        <f t="shared" si="20"/>
        <v/>
      </c>
      <c r="AJ86" s="52">
        <f t="shared" si="13"/>
        <v>70.584415691287035</v>
      </c>
      <c r="AL86" s="21">
        <f t="shared" si="14"/>
        <v>3.1346001207237251</v>
      </c>
      <c r="AM86" s="21">
        <f t="shared" si="15"/>
        <v>2.9702833534721753</v>
      </c>
      <c r="AN86" s="21">
        <f t="shared" si="16"/>
        <v>4.355843082222278</v>
      </c>
      <c r="AO86" s="21">
        <f t="shared" si="17"/>
        <v>4.1915263149707283</v>
      </c>
      <c r="AP86" s="21">
        <f t="shared" si="18"/>
        <v>70.584415691287035</v>
      </c>
      <c r="AQ86" s="21">
        <f t="shared" si="19"/>
        <v>4.2341958970525378E-5</v>
      </c>
    </row>
    <row r="87" spans="6:43" x14ac:dyDescent="0.25">
      <c r="F87" s="49"/>
      <c r="AC87" s="21">
        <f>IF(AD86&lt;&gt;"",EXP(-$C$3*$H$3)*($H$6*AD86+(1-$H$6)*AD88),"")</f>
        <v>66.361578906947116</v>
      </c>
      <c r="AD87" s="21" t="str">
        <f t="shared" ref="AD87:AD134" si="25">IF(AE86&lt;&gt;"",EXP(-$C$3*$H$3)*($H$6*AE86+(1-$H$6)*AE88),"")</f>
        <v/>
      </c>
      <c r="AE87" s="21">
        <f t="shared" si="24"/>
        <v>66.331823780343001</v>
      </c>
      <c r="AF87" s="21" t="str">
        <f t="shared" si="23"/>
        <v/>
      </c>
      <c r="AG87" s="21">
        <f t="shared" si="22"/>
        <v>66.30252578964037</v>
      </c>
      <c r="AH87" s="21" t="str">
        <f t="shared" si="21"/>
        <v/>
      </c>
      <c r="AI87" s="21">
        <f t="shared" si="20"/>
        <v>66.273663734591992</v>
      </c>
      <c r="AJ87" s="52" t="str">
        <f t="shared" si="13"/>
        <v/>
      </c>
      <c r="AL87" s="21" t="str">
        <f t="shared" si="14"/>
        <v/>
      </c>
      <c r="AM87" s="21" t="str">
        <f t="shared" si="15"/>
        <v/>
      </c>
      <c r="AN87" s="21" t="str">
        <f t="shared" si="16"/>
        <v/>
      </c>
      <c r="AO87" s="21" t="str">
        <f t="shared" si="17"/>
        <v/>
      </c>
      <c r="AP87" s="21" t="str">
        <f t="shared" si="18"/>
        <v/>
      </c>
      <c r="AQ87" s="21" t="str">
        <f t="shared" si="19"/>
        <v/>
      </c>
    </row>
    <row r="88" spans="6:43" x14ac:dyDescent="0.25">
      <c r="F88" s="49"/>
      <c r="AB88" s="21">
        <f>IF(AC87&lt;&gt;"",EXP(-$C$3*$H$3)*($H$6*AC87+(1-$H$6)*AC89),"")</f>
        <v>62.170470011492974</v>
      </c>
      <c r="AC88" s="21" t="str">
        <f t="shared" ref="AC88:AC133" si="26">IF(AD87&lt;&gt;"",EXP(-$C$3*$H$3)*($H$6*AD87+(1-$H$6)*AD89),"")</f>
        <v/>
      </c>
      <c r="AD88" s="21">
        <f t="shared" si="25"/>
        <v>62.137462278490283</v>
      </c>
      <c r="AE88" s="21" t="str">
        <f t="shared" si="24"/>
        <v/>
      </c>
      <c r="AF88" s="21">
        <f t="shared" si="23"/>
        <v>62.105053535453777</v>
      </c>
      <c r="AG88" s="21" t="str">
        <f t="shared" si="22"/>
        <v/>
      </c>
      <c r="AH88" s="21">
        <f t="shared" si="21"/>
        <v>62.073229295040548</v>
      </c>
      <c r="AI88" s="21" t="str">
        <f t="shared" si="20"/>
        <v/>
      </c>
      <c r="AJ88" s="52">
        <f t="shared" si="13"/>
        <v>62.041970739325819</v>
      </c>
      <c r="AL88" s="21">
        <f t="shared" si="14"/>
        <v>2.8364577237237518</v>
      </c>
      <c r="AM88" s="21">
        <f t="shared" si="15"/>
        <v>2.6721409564722021</v>
      </c>
      <c r="AN88" s="21">
        <f t="shared" si="16"/>
        <v>4.0577006852223052</v>
      </c>
      <c r="AO88" s="21">
        <f t="shared" si="17"/>
        <v>3.8933839179707554</v>
      </c>
      <c r="AP88" s="21">
        <f t="shared" si="18"/>
        <v>62.041970739325819</v>
      </c>
      <c r="AQ88" s="21">
        <f t="shared" si="19"/>
        <v>1.6029075319990479E-4</v>
      </c>
    </row>
    <row r="89" spans="6:43" x14ac:dyDescent="0.25">
      <c r="F89" s="49"/>
      <c r="AA89" s="21">
        <f>IF(AB88&lt;&gt;"",EXP(-$C$3*$H$3)*($H$6*AB88+(1-$H$6)*AB90),"")</f>
        <v>58.091721585759572</v>
      </c>
      <c r="AB89" s="21" t="str">
        <f t="shared" ref="AB89:AB132" si="27">IF(AC88&lt;&gt;"",EXP(-$C$3*$H$3)*($H$6*AC88+(1-$H$6)*AC90),"")</f>
        <v/>
      </c>
      <c r="AC89" s="21">
        <f t="shared" si="26"/>
        <v>58.0547225170139</v>
      </c>
      <c r="AD89" s="21" t="str">
        <f t="shared" si="25"/>
        <v/>
      </c>
      <c r="AE89" s="21">
        <f t="shared" si="24"/>
        <v>58.018466703750718</v>
      </c>
      <c r="AF89" s="21" t="str">
        <f t="shared" si="23"/>
        <v/>
      </c>
      <c r="AG89" s="21">
        <f t="shared" si="22"/>
        <v>57.982950978935975</v>
      </c>
      <c r="AH89" s="21" t="str">
        <f t="shared" si="21"/>
        <v/>
      </c>
      <c r="AI89" s="21">
        <f t="shared" si="20"/>
        <v>57.948167503930868</v>
      </c>
      <c r="AJ89" s="52" t="str">
        <f t="shared" si="13"/>
        <v/>
      </c>
      <c r="AL89" s="21" t="str">
        <f t="shared" si="14"/>
        <v/>
      </c>
      <c r="AM89" s="21" t="str">
        <f t="shared" si="15"/>
        <v/>
      </c>
      <c r="AN89" s="21" t="str">
        <f t="shared" si="16"/>
        <v/>
      </c>
      <c r="AO89" s="21" t="str">
        <f t="shared" si="17"/>
        <v/>
      </c>
      <c r="AP89" s="21" t="str">
        <f t="shared" si="18"/>
        <v/>
      </c>
      <c r="AQ89" s="21" t="str">
        <f t="shared" si="19"/>
        <v/>
      </c>
    </row>
    <row r="90" spans="6:43" x14ac:dyDescent="0.25">
      <c r="F90" s="49"/>
      <c r="Z90" s="21">
        <f>IF(AA89&lt;&gt;"",EXP(-$C$3*$H$3)*($H$6*AA89+(1-$H$6)*AA91),"")</f>
        <v>54.126569561632351</v>
      </c>
      <c r="AA90" s="21" t="str">
        <f t="shared" ref="AA90:AA131" si="28">IF(AB89&lt;&gt;"",EXP(-$C$3*$H$3)*($H$6*AB89+(1-$H$6)*AB91),"")</f>
        <v/>
      </c>
      <c r="AB90" s="21">
        <f t="shared" si="27"/>
        <v>54.084712445364353</v>
      </c>
      <c r="AC90" s="21" t="str">
        <f t="shared" si="26"/>
        <v/>
      </c>
      <c r="AD90" s="21">
        <f t="shared" si="25"/>
        <v>54.043729922777061</v>
      </c>
      <c r="AE90" s="21" t="str">
        <f t="shared" si="24"/>
        <v/>
      </c>
      <c r="AF90" s="21">
        <f t="shared" si="23"/>
        <v>54.003634241801677</v>
      </c>
      <c r="AG90" s="21" t="str">
        <f t="shared" si="22"/>
        <v/>
      </c>
      <c r="AH90" s="21">
        <f t="shared" si="21"/>
        <v>53.96443346156947</v>
      </c>
      <c r="AI90" s="21" t="str">
        <f t="shared" si="20"/>
        <v/>
      </c>
      <c r="AJ90" s="52">
        <f t="shared" si="13"/>
        <v>53.926130628254612</v>
      </c>
      <c r="AL90" s="21">
        <f t="shared" si="14"/>
        <v>2.5383153267237781</v>
      </c>
      <c r="AM90" s="21">
        <f t="shared" si="15"/>
        <v>2.3739985594722284</v>
      </c>
      <c r="AN90" s="21">
        <f t="shared" si="16"/>
        <v>3.7595582882223315</v>
      </c>
      <c r="AO90" s="21">
        <f t="shared" si="17"/>
        <v>3.5952415209707818</v>
      </c>
      <c r="AP90" s="21">
        <f t="shared" si="18"/>
        <v>53.926130628254612</v>
      </c>
      <c r="AQ90" s="21">
        <f t="shared" si="19"/>
        <v>5.5934570854248959E-4</v>
      </c>
    </row>
    <row r="91" spans="6:43" x14ac:dyDescent="0.25">
      <c r="F91" s="49"/>
      <c r="Y91" s="21">
        <f>IF(Z90&lt;&gt;"",EXP(-$C$3*$H$3)*($H$6*Z90+(1-$H$6)*Z92),"")</f>
        <v>50.277278643947753</v>
      </c>
      <c r="Z91" s="21" t="str">
        <f t="shared" ref="Z91:Z130" si="29">IF(AA90&lt;&gt;"",EXP(-$C$3*$H$3)*($H$6*AA90+(1-$H$6)*AA92),"")</f>
        <v/>
      </c>
      <c r="AA91" s="21">
        <f t="shared" si="28"/>
        <v>50.229600094035604</v>
      </c>
      <c r="AB91" s="21" t="str">
        <f t="shared" si="27"/>
        <v/>
      </c>
      <c r="AC91" s="21">
        <f t="shared" si="26"/>
        <v>50.182896632923097</v>
      </c>
      <c r="AD91" s="21" t="str">
        <f t="shared" si="25"/>
        <v/>
      </c>
      <c r="AE91" s="21">
        <f t="shared" si="24"/>
        <v>50.137198616626222</v>
      </c>
      <c r="AF91" s="21" t="str">
        <f t="shared" si="23"/>
        <v/>
      </c>
      <c r="AG91" s="21">
        <f t="shared" si="22"/>
        <v>50.092533590842727</v>
      </c>
      <c r="AH91" s="21" t="str">
        <f t="shared" si="21"/>
        <v/>
      </c>
      <c r="AI91" s="21">
        <f t="shared" si="20"/>
        <v>50.048925388568037</v>
      </c>
      <c r="AJ91" s="52" t="str">
        <f t="shared" si="13"/>
        <v/>
      </c>
      <c r="AL91" s="21" t="str">
        <f t="shared" si="14"/>
        <v/>
      </c>
      <c r="AM91" s="21" t="str">
        <f t="shared" si="15"/>
        <v/>
      </c>
      <c r="AN91" s="21" t="str">
        <f t="shared" si="16"/>
        <v/>
      </c>
      <c r="AO91" s="21" t="str">
        <f t="shared" si="17"/>
        <v/>
      </c>
      <c r="AP91" s="21" t="str">
        <f t="shared" si="18"/>
        <v/>
      </c>
      <c r="AQ91" s="21" t="str">
        <f t="shared" si="19"/>
        <v/>
      </c>
    </row>
    <row r="92" spans="6:43" x14ac:dyDescent="0.25">
      <c r="F92" s="49"/>
      <c r="X92" s="21">
        <f>IF(Y91&lt;&gt;"",EXP(-$C$3*$H$3)*($H$6*Y91+(1-$H$6)*Y93),"")</f>
        <v>46.547182808770174</v>
      </c>
      <c r="Y92" s="21" t="str">
        <f t="shared" ref="Y92:Y129" si="30">IF(Z91&lt;&gt;"",EXP(-$C$3*$H$3)*($H$6*Z91+(1-$H$6)*Z93),"")</f>
        <v/>
      </c>
      <c r="Z92" s="21">
        <f t="shared" si="29"/>
        <v>46.492672080237931</v>
      </c>
      <c r="AA92" s="21" t="str">
        <f t="shared" si="28"/>
        <v/>
      </c>
      <c r="AB92" s="21">
        <f t="shared" si="27"/>
        <v>46.439187766398696</v>
      </c>
      <c r="AC92" s="21" t="str">
        <f t="shared" si="26"/>
        <v/>
      </c>
      <c r="AD92" s="21">
        <f t="shared" si="25"/>
        <v>46.386778866921567</v>
      </c>
      <c r="AE92" s="21" t="str">
        <f t="shared" si="24"/>
        <v/>
      </c>
      <c r="AF92" s="21">
        <f t="shared" si="23"/>
        <v>46.335493718837029</v>
      </c>
      <c r="AG92" s="21" t="str">
        <f t="shared" si="22"/>
        <v/>
      </c>
      <c r="AH92" s="21">
        <f t="shared" si="21"/>
        <v>46.2853792142649</v>
      </c>
      <c r="AI92" s="21" t="str">
        <f t="shared" si="20"/>
        <v/>
      </c>
      <c r="AJ92" s="52">
        <f t="shared" si="13"/>
        <v>46.236479819840255</v>
      </c>
      <c r="AL92" s="21">
        <f t="shared" si="14"/>
        <v>2.2401729297238053</v>
      </c>
      <c r="AM92" s="21">
        <f t="shared" si="15"/>
        <v>2.0758561624722556</v>
      </c>
      <c r="AN92" s="21">
        <f t="shared" si="16"/>
        <v>3.4614158912223578</v>
      </c>
      <c r="AO92" s="21">
        <f t="shared" si="17"/>
        <v>3.2970991239708081</v>
      </c>
      <c r="AP92" s="21">
        <f t="shared" si="18"/>
        <v>46.236479819840255</v>
      </c>
      <c r="AQ92" s="21">
        <f t="shared" si="19"/>
        <v>1.8007134513674042E-3</v>
      </c>
    </row>
    <row r="93" spans="6:43" x14ac:dyDescent="0.25">
      <c r="F93" s="49"/>
      <c r="W93" s="21">
        <f>IF(X92&lt;&gt;"",EXP(-$C$3*$H$3)*($H$6*X92+(1-$H$6)*X94),"")</f>
        <v>42.94066115015039</v>
      </c>
      <c r="X93" s="21" t="str">
        <f t="shared" ref="X93:X128" si="31">IF(Y92&lt;&gt;"",EXP(-$C$3*$H$3)*($H$6*Y92+(1-$H$6)*Y94),"")</f>
        <v/>
      </c>
      <c r="Y93" s="21">
        <f t="shared" si="30"/>
        <v>42.878325171481073</v>
      </c>
      <c r="Z93" s="21" t="str">
        <f t="shared" si="29"/>
        <v/>
      </c>
      <c r="AA93" s="21">
        <f t="shared" si="28"/>
        <v>42.817001614936203</v>
      </c>
      <c r="AB93" s="21" t="str">
        <f t="shared" si="27"/>
        <v/>
      </c>
      <c r="AC93" s="21">
        <f t="shared" si="26"/>
        <v>42.756756063278068</v>
      </c>
      <c r="AD93" s="21" t="str">
        <f t="shared" si="25"/>
        <v/>
      </c>
      <c r="AE93" s="21">
        <f t="shared" si="24"/>
        <v>42.697656040784793</v>
      </c>
      <c r="AF93" s="21" t="str">
        <f t="shared" si="23"/>
        <v/>
      </c>
      <c r="AG93" s="21">
        <f t="shared" si="22"/>
        <v>42.639770538873513</v>
      </c>
      <c r="AH93" s="21" t="str">
        <f t="shared" si="21"/>
        <v/>
      </c>
      <c r="AI93" s="21">
        <f t="shared" si="20"/>
        <v>42.583169352444564</v>
      </c>
      <c r="AJ93" s="52" t="str">
        <f t="shared" si="13"/>
        <v/>
      </c>
      <c r="AL93" s="21" t="str">
        <f t="shared" si="14"/>
        <v/>
      </c>
      <c r="AM93" s="21" t="str">
        <f t="shared" si="15"/>
        <v/>
      </c>
      <c r="AN93" s="21" t="str">
        <f t="shared" si="16"/>
        <v/>
      </c>
      <c r="AO93" s="21" t="str">
        <f t="shared" si="17"/>
        <v/>
      </c>
      <c r="AP93" s="21" t="str">
        <f t="shared" si="18"/>
        <v/>
      </c>
      <c r="AQ93" s="21" t="str">
        <f t="shared" si="19"/>
        <v/>
      </c>
    </row>
    <row r="94" spans="6:43" x14ac:dyDescent="0.25">
      <c r="F94" s="49"/>
      <c r="V94" s="21">
        <f>IF(W93&lt;&gt;"",EXP(-$C$3*$H$3)*($H$6*W93+(1-$H$6)*W95),"")</f>
        <v>39.463038697173566</v>
      </c>
      <c r="W94" s="21" t="str">
        <f t="shared" ref="W94:W127" si="32">IF(X93&lt;&gt;"",EXP(-$C$3*$H$3)*($H$6*X93+(1-$H$6)*X95),"")</f>
        <v/>
      </c>
      <c r="X94" s="21">
        <f t="shared" si="31"/>
        <v>39.391977990427328</v>
      </c>
      <c r="Y94" s="21" t="str">
        <f t="shared" si="30"/>
        <v/>
      </c>
      <c r="Z94" s="21">
        <f t="shared" si="29"/>
        <v>39.32183898995762</v>
      </c>
      <c r="AA94" s="21" t="str">
        <f t="shared" si="28"/>
        <v/>
      </c>
      <c r="AB94" s="21">
        <f t="shared" si="27"/>
        <v>39.252699205127421</v>
      </c>
      <c r="AC94" s="21" t="str">
        <f t="shared" si="26"/>
        <v/>
      </c>
      <c r="AD94" s="21">
        <f t="shared" si="25"/>
        <v>39.184640710513825</v>
      </c>
      <c r="AE94" s="21" t="str">
        <f t="shared" si="24"/>
        <v/>
      </c>
      <c r="AF94" s="21">
        <f t="shared" si="23"/>
        <v>39.117750106480287</v>
      </c>
      <c r="AG94" s="21" t="str">
        <f t="shared" si="22"/>
        <v/>
      </c>
      <c r="AH94" s="21">
        <f t="shared" si="21"/>
        <v>39.052118349876736</v>
      </c>
      <c r="AI94" s="21" t="str">
        <f t="shared" si="20"/>
        <v/>
      </c>
      <c r="AJ94" s="52">
        <f t="shared" si="13"/>
        <v>38.987840404284412</v>
      </c>
      <c r="AL94" s="21">
        <f t="shared" si="14"/>
        <v>1.9420305327238325</v>
      </c>
      <c r="AM94" s="21">
        <f t="shared" si="15"/>
        <v>1.7777137654722828</v>
      </c>
      <c r="AN94" s="21">
        <f t="shared" si="16"/>
        <v>3.1632734942223864</v>
      </c>
      <c r="AO94" s="21">
        <f t="shared" si="17"/>
        <v>2.9989567269708366</v>
      </c>
      <c r="AP94" s="21">
        <f t="shared" si="18"/>
        <v>38.987840404284412</v>
      </c>
      <c r="AQ94" s="21">
        <f t="shared" si="19"/>
        <v>5.3532063911193584E-3</v>
      </c>
    </row>
    <row r="95" spans="6:43" x14ac:dyDescent="0.25">
      <c r="F95" s="49"/>
      <c r="U95" s="21">
        <f>IF(V94&lt;&gt;"",EXP(-$C$3*$H$3)*($H$6*V94+(1-$H$6)*V96),"")</f>
        <v>36.120408724966069</v>
      </c>
      <c r="V95" s="21" t="str">
        <f t="shared" ref="V95:V126" si="33">IF(W94&lt;&gt;"",EXP(-$C$3*$H$3)*($H$6*W94+(1-$H$6)*W96),"")</f>
        <v/>
      </c>
      <c r="W95" s="21">
        <f t="shared" si="32"/>
        <v>36.039897346398007</v>
      </c>
      <c r="X95" s="21" t="str">
        <f t="shared" si="31"/>
        <v/>
      </c>
      <c r="Y95" s="21">
        <f t="shared" si="30"/>
        <v>35.960135659359459</v>
      </c>
      <c r="Z95" s="21" t="str">
        <f t="shared" si="29"/>
        <v/>
      </c>
      <c r="AA95" s="21">
        <f t="shared" si="28"/>
        <v>35.881206312394397</v>
      </c>
      <c r="AB95" s="21" t="str">
        <f t="shared" si="27"/>
        <v/>
      </c>
      <c r="AC95" s="21">
        <f t="shared" si="26"/>
        <v>35.803198695968078</v>
      </c>
      <c r="AD95" s="21" t="str">
        <f t="shared" si="25"/>
        <v/>
      </c>
      <c r="AE95" s="21">
        <f t="shared" si="24"/>
        <v>35.726209371157616</v>
      </c>
      <c r="AF95" s="21" t="str">
        <f t="shared" si="23"/>
        <v/>
      </c>
      <c r="AG95" s="21">
        <f t="shared" si="22"/>
        <v>35.650342461610769</v>
      </c>
      <c r="AH95" s="21" t="str">
        <f t="shared" si="21"/>
        <v/>
      </c>
      <c r="AI95" s="21">
        <f t="shared" si="20"/>
        <v>35.575709974470136</v>
      </c>
      <c r="AJ95" s="52" t="str">
        <f t="shared" si="13"/>
        <v/>
      </c>
      <c r="AL95" s="21" t="str">
        <f t="shared" si="14"/>
        <v/>
      </c>
      <c r="AM95" s="21" t="str">
        <f t="shared" si="15"/>
        <v/>
      </c>
      <c r="AN95" s="21" t="str">
        <f t="shared" si="16"/>
        <v/>
      </c>
      <c r="AO95" s="21" t="str">
        <f t="shared" si="17"/>
        <v/>
      </c>
      <c r="AP95" s="21" t="str">
        <f t="shared" si="18"/>
        <v/>
      </c>
      <c r="AQ95" s="21" t="str">
        <f t="shared" si="19"/>
        <v/>
      </c>
    </row>
    <row r="96" spans="6:43" x14ac:dyDescent="0.25">
      <c r="F96" s="49"/>
      <c r="T96" s="21">
        <f>IF(U95&lt;&gt;"",EXP(-$C$3*$H$3)*($H$6*U95+(1-$H$6)*U97),"")</f>
        <v>32.919406341027376</v>
      </c>
      <c r="U96" s="21" t="str">
        <f t="shared" ref="U96:U125" si="34">IF(V95&lt;&gt;"",EXP(-$C$3*$H$3)*($H$6*V95+(1-$H$6)*V97),"")</f>
        <v/>
      </c>
      <c r="V96" s="21">
        <f t="shared" si="33"/>
        <v>32.828942560639234</v>
      </c>
      <c r="W96" s="21" t="str">
        <f t="shared" si="32"/>
        <v/>
      </c>
      <c r="X96" s="21">
        <f t="shared" si="31"/>
        <v>32.739003884477455</v>
      </c>
      <c r="Y96" s="21" t="str">
        <f t="shared" si="30"/>
        <v/>
      </c>
      <c r="Z96" s="21">
        <f t="shared" si="29"/>
        <v>32.649644781518766</v>
      </c>
      <c r="AA96" s="21" t="str">
        <f t="shared" si="28"/>
        <v/>
      </c>
      <c r="AB96" s="21">
        <f t="shared" si="27"/>
        <v>32.560953052587898</v>
      </c>
      <c r="AC96" s="21" t="str">
        <f t="shared" si="26"/>
        <v/>
      </c>
      <c r="AD96" s="21">
        <f t="shared" si="25"/>
        <v>32.47302540391734</v>
      </c>
      <c r="AE96" s="21" t="str">
        <f t="shared" si="24"/>
        <v/>
      </c>
      <c r="AF96" s="21">
        <f t="shared" si="23"/>
        <v>32.385968340434793</v>
      </c>
      <c r="AG96" s="21" t="str">
        <f t="shared" si="22"/>
        <v/>
      </c>
      <c r="AH96" s="21">
        <f t="shared" si="21"/>
        <v>32.299899114677601</v>
      </c>
      <c r="AI96" s="21" t="str">
        <f t="shared" si="20"/>
        <v/>
      </c>
      <c r="AJ96" s="52">
        <f t="shared" si="13"/>
        <v>32.214946713156365</v>
      </c>
      <c r="AL96" s="21">
        <f t="shared" si="14"/>
        <v>1.6438881357238586</v>
      </c>
      <c r="AM96" s="21">
        <f t="shared" si="15"/>
        <v>1.4795713684723089</v>
      </c>
      <c r="AN96" s="21">
        <f t="shared" si="16"/>
        <v>2.8651310972224122</v>
      </c>
      <c r="AO96" s="21">
        <f t="shared" si="17"/>
        <v>2.7008143299708625</v>
      </c>
      <c r="AP96" s="21">
        <f t="shared" si="18"/>
        <v>32.214946713156365</v>
      </c>
      <c r="AQ96" s="21">
        <f t="shared" si="19"/>
        <v>1.4711781286824599E-2</v>
      </c>
    </row>
    <row r="97" spans="4:43" x14ac:dyDescent="0.25">
      <c r="F97" s="49"/>
      <c r="S97" s="21">
        <f>IF(T96&lt;&gt;"",EXP(-$C$3*$H$3)*($H$6*T96+(1-$H$6)*T98),"")</f>
        <v>29.86701602181099</v>
      </c>
      <c r="T97" s="21" t="str">
        <f t="shared" ref="T97:T124" si="35">IF(U96&lt;&gt;"",EXP(-$C$3*$H$3)*($H$6*U96+(1-$H$6)*U98),"")</f>
        <v/>
      </c>
      <c r="U97" s="21">
        <f t="shared" si="34"/>
        <v>29.766290573783621</v>
      </c>
      <c r="V97" s="21" t="str">
        <f t="shared" si="33"/>
        <v/>
      </c>
      <c r="W97" s="21">
        <f t="shared" si="32"/>
        <v>29.665895236082815</v>
      </c>
      <c r="X97" s="21" t="str">
        <f t="shared" si="31"/>
        <v/>
      </c>
      <c r="Y97" s="21">
        <f t="shared" si="30"/>
        <v>29.565802590028699</v>
      </c>
      <c r="Z97" s="21" t="str">
        <f t="shared" si="29"/>
        <v/>
      </c>
      <c r="AA97" s="21">
        <f t="shared" si="28"/>
        <v>29.466039190317296</v>
      </c>
      <c r="AB97" s="21" t="str">
        <f t="shared" si="27"/>
        <v/>
      </c>
      <c r="AC97" s="21">
        <f t="shared" si="26"/>
        <v>29.366691319363117</v>
      </c>
      <c r="AD97" s="21" t="str">
        <f t="shared" si="25"/>
        <v/>
      </c>
      <c r="AE97" s="21">
        <f t="shared" si="24"/>
        <v>29.267855891593261</v>
      </c>
      <c r="AF97" s="21" t="str">
        <f t="shared" si="23"/>
        <v/>
      </c>
      <c r="AG97" s="21">
        <f t="shared" si="22"/>
        <v>29.169641844580656</v>
      </c>
      <c r="AH97" s="21" t="str">
        <f t="shared" si="21"/>
        <v/>
      </c>
      <c r="AI97" s="21">
        <f t="shared" si="20"/>
        <v>29.072171711473008</v>
      </c>
      <c r="AJ97" s="52" t="str">
        <f t="shared" si="13"/>
        <v/>
      </c>
      <c r="AL97" s="21" t="str">
        <f t="shared" si="14"/>
        <v/>
      </c>
      <c r="AM97" s="21" t="str">
        <f t="shared" si="15"/>
        <v/>
      </c>
      <c r="AN97" s="21" t="str">
        <f t="shared" si="16"/>
        <v/>
      </c>
      <c r="AO97" s="21" t="str">
        <f t="shared" si="17"/>
        <v/>
      </c>
      <c r="AP97" s="21" t="str">
        <f t="shared" si="18"/>
        <v/>
      </c>
      <c r="AQ97" s="21" t="str">
        <f t="shared" si="19"/>
        <v/>
      </c>
    </row>
    <row r="98" spans="4:43" x14ac:dyDescent="0.25">
      <c r="F98" s="49"/>
      <c r="R98" s="21">
        <f>IF(S97&lt;&gt;"",EXP(-$C$3*$H$3)*($H$6*S97+(1-$H$6)*S99),"")</f>
        <v>26.970516735045475</v>
      </c>
      <c r="S98" s="21" t="str">
        <f t="shared" ref="S98:S123" si="36">IF(T97&lt;&gt;"",EXP(-$C$3*$H$3)*($H$6*T97+(1-$H$6)*T99),"")</f>
        <v/>
      </c>
      <c r="T98" s="21">
        <f t="shared" si="35"/>
        <v>26.859277028837216</v>
      </c>
      <c r="U98" s="21" t="str">
        <f t="shared" si="34"/>
        <v/>
      </c>
      <c r="V98" s="21">
        <f t="shared" si="33"/>
        <v>26.748306457743819</v>
      </c>
      <c r="W98" s="21" t="str">
        <f t="shared" si="32"/>
        <v/>
      </c>
      <c r="X98" s="21">
        <f t="shared" si="31"/>
        <v>26.637472807700867</v>
      </c>
      <c r="Y98" s="21" t="str">
        <f t="shared" si="30"/>
        <v/>
      </c>
      <c r="Z98" s="21">
        <f t="shared" si="29"/>
        <v>26.52666741995602</v>
      </c>
      <c r="AA98" s="21" t="str">
        <f t="shared" si="28"/>
        <v/>
      </c>
      <c r="AB98" s="21">
        <f t="shared" si="27"/>
        <v>26.415856118675595</v>
      </c>
      <c r="AC98" s="21" t="str">
        <f t="shared" si="26"/>
        <v/>
      </c>
      <c r="AD98" s="21">
        <f t="shared" si="25"/>
        <v>26.305114904504851</v>
      </c>
      <c r="AE98" s="21" t="str">
        <f t="shared" si="24"/>
        <v/>
      </c>
      <c r="AF98" s="21">
        <f t="shared" si="23"/>
        <v>26.194531243704052</v>
      </c>
      <c r="AG98" s="21" t="str">
        <f t="shared" si="22"/>
        <v/>
      </c>
      <c r="AH98" s="21">
        <f t="shared" si="21"/>
        <v>26.084205898828813</v>
      </c>
      <c r="AI98" s="21" t="str">
        <f t="shared" si="20"/>
        <v/>
      </c>
      <c r="AJ98" s="52">
        <f t="shared" si="13"/>
        <v>25.974255083503635</v>
      </c>
      <c r="AL98" s="21">
        <f t="shared" si="14"/>
        <v>1.3457457387238854</v>
      </c>
      <c r="AM98" s="21">
        <f t="shared" si="15"/>
        <v>1.1814289714723356</v>
      </c>
      <c r="AN98" s="21">
        <f t="shared" si="16"/>
        <v>2.5669887002224381</v>
      </c>
      <c r="AO98" s="21">
        <f t="shared" si="17"/>
        <v>2.4026719329708883</v>
      </c>
      <c r="AP98" s="21">
        <f t="shared" si="18"/>
        <v>25.974255083503635</v>
      </c>
      <c r="AQ98" s="21">
        <f t="shared" si="19"/>
        <v>3.742405336736021E-2</v>
      </c>
    </row>
    <row r="99" spans="4:43" x14ac:dyDescent="0.25">
      <c r="F99" s="49"/>
      <c r="Q99" s="21">
        <f>IF(R98&lt;&gt;"",EXP(-$C$3*$H$3)*($H$6*R98+(1-$H$6)*R100),"")</f>
        <v>24.237617441326027</v>
      </c>
      <c r="R99" s="21" t="str">
        <f t="shared" ref="R99:R122" si="37">IF(S98&lt;&gt;"",EXP(-$C$3*$H$3)*($H$6*S98+(1-$H$6)*S100),"")</f>
        <v/>
      </c>
      <c r="S99" s="21">
        <f t="shared" si="36"/>
        <v>24.115477824150055</v>
      </c>
      <c r="T99" s="21" t="str">
        <f t="shared" si="35"/>
        <v/>
      </c>
      <c r="U99" s="21">
        <f t="shared" si="34"/>
        <v>23.993735475861431</v>
      </c>
      <c r="V99" s="21" t="str">
        <f t="shared" si="33"/>
        <v/>
      </c>
      <c r="W99" s="21">
        <f t="shared" si="32"/>
        <v>23.872201961961949</v>
      </c>
      <c r="X99" s="21" t="str">
        <f t="shared" si="31"/>
        <v/>
      </c>
      <c r="Y99" s="21">
        <f t="shared" si="30"/>
        <v>23.750641037248094</v>
      </c>
      <c r="Z99" s="21" t="str">
        <f t="shared" si="29"/>
        <v/>
      </c>
      <c r="AA99" s="21">
        <f t="shared" si="28"/>
        <v>23.628809856722597</v>
      </c>
      <c r="AB99" s="21" t="str">
        <f t="shared" si="27"/>
        <v/>
      </c>
      <c r="AC99" s="21">
        <f t="shared" si="26"/>
        <v>23.506554743000727</v>
      </c>
      <c r="AD99" s="21" t="str">
        <f t="shared" si="25"/>
        <v/>
      </c>
      <c r="AE99" s="21">
        <f t="shared" si="24"/>
        <v>23.383931003456045</v>
      </c>
      <c r="AF99" s="21" t="str">
        <f t="shared" si="23"/>
        <v/>
      </c>
      <c r="AG99" s="21">
        <f t="shared" si="22"/>
        <v>23.261004865693263</v>
      </c>
      <c r="AH99" s="21" t="str">
        <f t="shared" si="21"/>
        <v/>
      </c>
      <c r="AI99" s="21">
        <f t="shared" si="20"/>
        <v>23.137855565595988</v>
      </c>
      <c r="AJ99" s="52" t="str">
        <f t="shared" si="13"/>
        <v/>
      </c>
      <c r="AL99" s="21" t="str">
        <f t="shared" si="14"/>
        <v/>
      </c>
      <c r="AM99" s="21" t="str">
        <f t="shared" si="15"/>
        <v/>
      </c>
      <c r="AN99" s="21" t="str">
        <f t="shared" si="16"/>
        <v/>
      </c>
      <c r="AO99" s="21" t="str">
        <f t="shared" si="17"/>
        <v/>
      </c>
      <c r="AP99" s="21" t="str">
        <f t="shared" si="18"/>
        <v/>
      </c>
      <c r="AQ99" s="21" t="str">
        <f t="shared" si="19"/>
        <v/>
      </c>
    </row>
    <row r="100" spans="4:43" x14ac:dyDescent="0.25">
      <c r="F100" s="49"/>
      <c r="P100" s="21">
        <f>IF(Q99&lt;&gt;"",EXP(-$C$3*$H$3)*($H$6*Q99+(1-$H$6)*Q101),"")</f>
        <v>21.676730446717624</v>
      </c>
      <c r="Q100" s="21" t="str">
        <f t="shared" ref="Q100:Q121" si="38">IF(R99&lt;&gt;"",EXP(-$C$3*$H$3)*($H$6*R99+(1-$H$6)*R101),"")</f>
        <v/>
      </c>
      <c r="R100" s="21">
        <f t="shared" si="37"/>
        <v>21.543033536371599</v>
      </c>
      <c r="S100" s="21" t="str">
        <f t="shared" si="36"/>
        <v/>
      </c>
      <c r="T100" s="21">
        <f t="shared" si="35"/>
        <v>21.410001521626079</v>
      </c>
      <c r="U100" s="21" t="str">
        <f t="shared" si="34"/>
        <v/>
      </c>
      <c r="V100" s="21">
        <f t="shared" si="33"/>
        <v>21.277494131555162</v>
      </c>
      <c r="W100" s="21" t="str">
        <f t="shared" si="32"/>
        <v/>
      </c>
      <c r="X100" s="21">
        <f t="shared" si="31"/>
        <v>21.145267043196906</v>
      </c>
      <c r="Y100" s="21" t="str">
        <f t="shared" si="30"/>
        <v/>
      </c>
      <c r="Z100" s="21">
        <f t="shared" si="29"/>
        <v>21.012957305362388</v>
      </c>
      <c r="AA100" s="21" t="str">
        <f t="shared" si="28"/>
        <v/>
      </c>
      <c r="AB100" s="21">
        <f t="shared" si="27"/>
        <v>20.880114939221109</v>
      </c>
      <c r="AC100" s="21" t="str">
        <f t="shared" si="26"/>
        <v/>
      </c>
      <c r="AD100" s="21">
        <f t="shared" si="25"/>
        <v>20.74635835471566</v>
      </c>
      <c r="AE100" s="21" t="str">
        <f t="shared" si="24"/>
        <v/>
      </c>
      <c r="AF100" s="21">
        <f t="shared" si="23"/>
        <v>20.61171099853027</v>
      </c>
      <c r="AG100" s="21" t="str">
        <f t="shared" si="22"/>
        <v/>
      </c>
      <c r="AH100" s="21">
        <f t="shared" si="21"/>
        <v>20.476204888086592</v>
      </c>
      <c r="AI100" s="21" t="str">
        <f t="shared" si="20"/>
        <v/>
      </c>
      <c r="AJ100" s="52">
        <f t="shared" si="13"/>
        <v>20.339882634794748</v>
      </c>
      <c r="AL100" s="21">
        <f t="shared" si="14"/>
        <v>1.0476033417239123</v>
      </c>
      <c r="AM100" s="21">
        <f t="shared" si="15"/>
        <v>0.88328657447236258</v>
      </c>
      <c r="AN100" s="21">
        <f t="shared" si="16"/>
        <v>2.2688463032224653</v>
      </c>
      <c r="AO100" s="21">
        <f t="shared" si="17"/>
        <v>2.1045295359709155</v>
      </c>
      <c r="AP100" s="21">
        <f t="shared" si="18"/>
        <v>20.339882634794748</v>
      </c>
      <c r="AQ100" s="21">
        <f t="shared" si="19"/>
        <v>8.8249429077824848E-2</v>
      </c>
    </row>
    <row r="101" spans="4:43" x14ac:dyDescent="0.25">
      <c r="F101" s="49"/>
      <c r="O101" s="21">
        <f>IF(P100&lt;&gt;"",EXP(-$C$3*$H$3)*($H$6*P100+(1-$H$6)*P102),"")</f>
        <v>19.297231577977055</v>
      </c>
      <c r="P101" s="21" t="str">
        <f t="shared" ref="P101:P120" si="39">IF(Q100&lt;&gt;"",EXP(-$C$3*$H$3)*($H$6*Q100+(1-$H$6)*Q102),"")</f>
        <v/>
      </c>
      <c r="Q101" s="21">
        <f t="shared" si="38"/>
        <v>19.151059684784972</v>
      </c>
      <c r="R101" s="21" t="str">
        <f t="shared" si="37"/>
        <v/>
      </c>
      <c r="S101" s="21">
        <f t="shared" si="36"/>
        <v>19.005810664729257</v>
      </c>
      <c r="T101" s="21" t="str">
        <f t="shared" si="35"/>
        <v/>
      </c>
      <c r="U101" s="21">
        <f t="shared" si="34"/>
        <v>18.861492432569296</v>
      </c>
      <c r="V101" s="21" t="str">
        <f t="shared" si="33"/>
        <v/>
      </c>
      <c r="W101" s="21">
        <f t="shared" si="32"/>
        <v>18.718012396205697</v>
      </c>
      <c r="X101" s="21" t="str">
        <f t="shared" si="31"/>
        <v/>
      </c>
      <c r="Y101" s="21">
        <f t="shared" si="30"/>
        <v>18.575118058347886</v>
      </c>
      <c r="Z101" s="21" t="str">
        <f t="shared" si="29"/>
        <v/>
      </c>
      <c r="AA101" s="21">
        <f t="shared" si="28"/>
        <v>18.432327097121085</v>
      </c>
      <c r="AB101" s="21" t="str">
        <f t="shared" si="27"/>
        <v/>
      </c>
      <c r="AC101" s="21">
        <f t="shared" si="26"/>
        <v>18.28889534252756</v>
      </c>
      <c r="AD101" s="21" t="str">
        <f t="shared" si="25"/>
        <v/>
      </c>
      <c r="AE101" s="21">
        <f t="shared" si="24"/>
        <v>18.144007605895307</v>
      </c>
      <c r="AF101" s="21" t="str">
        <f t="shared" si="23"/>
        <v/>
      </c>
      <c r="AG101" s="21">
        <f t="shared" si="22"/>
        <v>17.997644916390794</v>
      </c>
      <c r="AH101" s="21" t="str">
        <f t="shared" si="21"/>
        <v/>
      </c>
      <c r="AI101" s="21">
        <f t="shared" si="20"/>
        <v>17.849792478147656</v>
      </c>
      <c r="AJ101" s="52" t="str">
        <f t="shared" si="13"/>
        <v/>
      </c>
      <c r="AL101" s="21" t="str">
        <f t="shared" si="14"/>
        <v/>
      </c>
      <c r="AM101" s="21" t="str">
        <f t="shared" si="15"/>
        <v/>
      </c>
      <c r="AN101" s="21" t="str">
        <f t="shared" si="16"/>
        <v/>
      </c>
      <c r="AO101" s="21" t="str">
        <f t="shared" si="17"/>
        <v/>
      </c>
      <c r="AP101" s="21" t="str">
        <f t="shared" si="18"/>
        <v/>
      </c>
      <c r="AQ101" s="21" t="str">
        <f t="shared" si="19"/>
        <v/>
      </c>
    </row>
    <row r="102" spans="4:43" x14ac:dyDescent="0.25">
      <c r="F102" s="49"/>
      <c r="N102" s="21">
        <f>IF(O101&lt;&gt;"",EXP(-$C$3*$H$3)*($H$6*O101+(1-$H$6)*O103),"")</f>
        <v>17.109522167288027</v>
      </c>
      <c r="O102" s="21" t="str">
        <f t="shared" ref="O102:O119" si="40">IF(P101&lt;&gt;"",EXP(-$C$3*$H$3)*($H$6*P101+(1-$H$6)*P103),"")</f>
        <v/>
      </c>
      <c r="P102" s="21">
        <f t="shared" si="39"/>
        <v>16.949894009061136</v>
      </c>
      <c r="Q102" s="21" t="str">
        <f t="shared" si="38"/>
        <v/>
      </c>
      <c r="R102" s="21">
        <f t="shared" si="37"/>
        <v>16.79125149358174</v>
      </c>
      <c r="S102" s="21" t="str">
        <f t="shared" si="36"/>
        <v/>
      </c>
      <c r="T102" s="21">
        <f t="shared" si="35"/>
        <v>16.633788344124234</v>
      </c>
      <c r="U102" s="21" t="str">
        <f t="shared" si="34"/>
        <v/>
      </c>
      <c r="V102" s="21">
        <f t="shared" si="33"/>
        <v>16.477659461557622</v>
      </c>
      <c r="W102" s="21" t="str">
        <f t="shared" si="32"/>
        <v/>
      </c>
      <c r="X102" s="21">
        <f t="shared" si="31"/>
        <v>16.322922689501837</v>
      </c>
      <c r="Y102" s="21" t="str">
        <f t="shared" si="30"/>
        <v/>
      </c>
      <c r="Z102" s="21">
        <f t="shared" si="29"/>
        <v>16.169434918838185</v>
      </c>
      <c r="AA102" s="21" t="str">
        <f t="shared" si="28"/>
        <v/>
      </c>
      <c r="AB102" s="21">
        <f t="shared" si="27"/>
        <v>16.016681427320361</v>
      </c>
      <c r="AC102" s="21" t="str">
        <f t="shared" si="26"/>
        <v/>
      </c>
      <c r="AD102" s="21">
        <f t="shared" si="25"/>
        <v>15.863557918806944</v>
      </c>
      <c r="AE102" s="21" t="str">
        <f t="shared" si="24"/>
        <v/>
      </c>
      <c r="AF102" s="21">
        <f t="shared" si="23"/>
        <v>15.708416846499048</v>
      </c>
      <c r="AG102" s="21" t="str">
        <f t="shared" si="22"/>
        <v/>
      </c>
      <c r="AH102" s="21">
        <f t="shared" si="21"/>
        <v>15.55118865327279</v>
      </c>
      <c r="AI102" s="21" t="str">
        <f t="shared" si="20"/>
        <v/>
      </c>
      <c r="AJ102" s="52">
        <f t="shared" si="13"/>
        <v>15.391801592912785</v>
      </c>
      <c r="AL102" s="21">
        <f t="shared" si="14"/>
        <v>0.74946094472393998</v>
      </c>
      <c r="AM102" s="21">
        <f t="shared" si="15"/>
        <v>0.58514417747239023</v>
      </c>
      <c r="AN102" s="21">
        <f t="shared" si="16"/>
        <v>1.9707039062224934</v>
      </c>
      <c r="AO102" s="21">
        <f t="shared" si="17"/>
        <v>1.8063871389709436</v>
      </c>
      <c r="AP102" s="21">
        <f t="shared" si="18"/>
        <v>15.391801592912785</v>
      </c>
      <c r="AQ102" s="21">
        <f t="shared" si="19"/>
        <v>0.19323851203013875</v>
      </c>
    </row>
    <row r="103" spans="4:43" x14ac:dyDescent="0.25">
      <c r="F103" s="49"/>
      <c r="M103" s="21">
        <f>IF(N102&lt;&gt;"",EXP(-$C$3*$H$3)*($H$6*N102+(1-$H$6)*N104),"")</f>
        <v>15.124756155358687</v>
      </c>
      <c r="N103" s="21" t="str">
        <f t="shared" ref="N103:N118" si="41">IF(O102&lt;&gt;"",EXP(-$C$3*$H$3)*($H$6*O102+(1-$H$6)*O104),"")</f>
        <v/>
      </c>
      <c r="O103" s="21">
        <f t="shared" si="40"/>
        <v>14.950961916067307</v>
      </c>
      <c r="P103" s="21" t="str">
        <f t="shared" si="39"/>
        <v/>
      </c>
      <c r="Q103" s="21">
        <f t="shared" si="38"/>
        <v>14.777880895867785</v>
      </c>
      <c r="R103" s="21" t="str">
        <f t="shared" si="37"/>
        <v/>
      </c>
      <c r="S103" s="21">
        <f t="shared" si="36"/>
        <v>14.605848432208196</v>
      </c>
      <c r="T103" s="21" t="str">
        <f t="shared" si="35"/>
        <v/>
      </c>
      <c r="U103" s="21">
        <f t="shared" si="34"/>
        <v>14.435242674797193</v>
      </c>
      <c r="V103" s="21" t="str">
        <f t="shared" si="33"/>
        <v/>
      </c>
      <c r="W103" s="21">
        <f t="shared" si="32"/>
        <v>14.266464108081989</v>
      </c>
      <c r="X103" s="21" t="str">
        <f t="shared" si="31"/>
        <v/>
      </c>
      <c r="Y103" s="21">
        <f t="shared" si="30"/>
        <v>14.099878431761812</v>
      </c>
      <c r="Z103" s="21" t="str">
        <f t="shared" si="29"/>
        <v/>
      </c>
      <c r="AA103" s="21">
        <f t="shared" si="28"/>
        <v>13.9356788964526</v>
      </c>
      <c r="AB103" s="21" t="str">
        <f t="shared" si="27"/>
        <v/>
      </c>
      <c r="AC103" s="21">
        <f t="shared" si="26"/>
        <v>13.7735780203122</v>
      </c>
      <c r="AD103" s="21" t="str">
        <f t="shared" si="25"/>
        <v/>
      </c>
      <c r="AE103" s="21">
        <f t="shared" si="24"/>
        <v>13.612184017006639</v>
      </c>
      <c r="AF103" s="21" t="str">
        <f t="shared" si="23"/>
        <v/>
      </c>
      <c r="AG103" s="21">
        <f t="shared" si="22"/>
        <v>13.448232910913514</v>
      </c>
      <c r="AH103" s="21" t="str">
        <f t="shared" si="21"/>
        <v/>
      </c>
      <c r="AI103" s="21">
        <f t="shared" si="20"/>
        <v>13.281600782700135</v>
      </c>
      <c r="AJ103" s="52" t="str">
        <f t="shared" si="13"/>
        <v/>
      </c>
      <c r="AL103" s="21" t="str">
        <f t="shared" si="14"/>
        <v/>
      </c>
      <c r="AM103" s="21" t="str">
        <f t="shared" si="15"/>
        <v/>
      </c>
      <c r="AN103" s="21" t="str">
        <f t="shared" si="16"/>
        <v/>
      </c>
      <c r="AO103" s="21" t="str">
        <f t="shared" si="17"/>
        <v/>
      </c>
      <c r="AP103" s="21" t="str">
        <f t="shared" si="18"/>
        <v/>
      </c>
      <c r="AQ103" s="21" t="str">
        <f t="shared" si="19"/>
        <v/>
      </c>
    </row>
    <row r="104" spans="4:43" x14ac:dyDescent="0.25">
      <c r="D104" s="21" t="s">
        <v>56</v>
      </c>
      <c r="F104" s="49"/>
      <c r="L104" s="21">
        <f>IF(M103&lt;&gt;"",EXP(-$C$3*$H$3)*($H$6*M103+(1-$H$6)*M105),"")</f>
        <v>13.354200715921456</v>
      </c>
      <c r="M104" s="21" t="str">
        <f t="shared" ref="M104:M117" si="42">IF(N103&lt;&gt;"",EXP(-$C$3*$H$3)*($H$6*N103+(1-$H$6)*N105),"")</f>
        <v/>
      </c>
      <c r="N104" s="21">
        <f t="shared" si="41"/>
        <v>13.166171242878095</v>
      </c>
      <c r="O104" s="21" t="str">
        <f t="shared" si="40"/>
        <v/>
      </c>
      <c r="P104" s="21">
        <f t="shared" si="39"/>
        <v>12.978210689552267</v>
      </c>
      <c r="Q104" s="21" t="str">
        <f t="shared" si="38"/>
        <v/>
      </c>
      <c r="R104" s="21">
        <f t="shared" si="37"/>
        <v>12.790693620243063</v>
      </c>
      <c r="S104" s="21" t="str">
        <f t="shared" si="36"/>
        <v/>
      </c>
      <c r="T104" s="21">
        <f t="shared" si="35"/>
        <v>12.604096057857246</v>
      </c>
      <c r="U104" s="21" t="str">
        <f t="shared" si="34"/>
        <v/>
      </c>
      <c r="V104" s="21">
        <f t="shared" si="33"/>
        <v>12.419017836923349</v>
      </c>
      <c r="W104" s="21" t="str">
        <f t="shared" si="32"/>
        <v/>
      </c>
      <c r="X104" s="21">
        <f t="shared" si="31"/>
        <v>12.236199562804945</v>
      </c>
      <c r="Y104" s="21" t="str">
        <f t="shared" si="30"/>
        <v/>
      </c>
      <c r="Z104" s="21">
        <f t="shared" si="29"/>
        <v>12.056511849971194</v>
      </c>
      <c r="AA104" s="21" t="str">
        <f t="shared" si="28"/>
        <v/>
      </c>
      <c r="AB104" s="21">
        <f t="shared" si="27"/>
        <v>11.880850294020615</v>
      </c>
      <c r="AC104" s="21" t="str">
        <f t="shared" si="26"/>
        <v/>
      </c>
      <c r="AD104" s="21">
        <f t="shared" si="25"/>
        <v>11.709737395350952</v>
      </c>
      <c r="AE104" s="21" t="str">
        <f t="shared" si="24"/>
        <v/>
      </c>
      <c r="AF104" s="21">
        <f t="shared" si="23"/>
        <v>11.542034124379493</v>
      </c>
      <c r="AG104" s="21" t="str">
        <f t="shared" si="22"/>
        <v/>
      </c>
      <c r="AH104" s="21">
        <f t="shared" si="21"/>
        <v>11.371305891875892</v>
      </c>
      <c r="AI104" s="21" t="str">
        <f t="shared" si="20"/>
        <v/>
      </c>
      <c r="AJ104" s="52">
        <f t="shared" si="13"/>
        <v>11.197376947295709</v>
      </c>
      <c r="AL104" s="21">
        <f t="shared" si="14"/>
        <v>0.45131854772396707</v>
      </c>
      <c r="AM104" s="21">
        <f t="shared" si="15"/>
        <v>0.28700178047241726</v>
      </c>
      <c r="AN104" s="21">
        <f t="shared" si="16"/>
        <v>1.6725615092225194</v>
      </c>
      <c r="AO104" s="21">
        <f t="shared" si="17"/>
        <v>1.5082447419709697</v>
      </c>
      <c r="AP104" s="21">
        <f t="shared" si="18"/>
        <v>11.197376947295709</v>
      </c>
      <c r="AQ104" s="21">
        <f t="shared" si="19"/>
        <v>0.39369707661966569</v>
      </c>
    </row>
    <row r="105" spans="4:43" x14ac:dyDescent="0.25">
      <c r="F105" s="49"/>
      <c r="K105" s="21">
        <f>IF(L104&lt;&gt;"",EXP(-$C$3*$H$3)*($H$6*L104+(1-$H$6)*L106),"")</f>
        <v>11.808313280064858</v>
      </c>
      <c r="L105" s="21" t="str">
        <f t="shared" ref="L105:L116" si="43">IF(M104&lt;&gt;"",EXP(-$C$3*$H$3)*($H$6*M104+(1-$H$6)*M106),"")</f>
        <v/>
      </c>
      <c r="M105" s="21">
        <f t="shared" si="42"/>
        <v>11.60690895776305</v>
      </c>
      <c r="N105" s="21" t="str">
        <f t="shared" si="41"/>
        <v/>
      </c>
      <c r="O105" s="21">
        <f t="shared" si="40"/>
        <v>11.40463512709619</v>
      </c>
      <c r="P105" s="21" t="str">
        <f t="shared" si="39"/>
        <v/>
      </c>
      <c r="Q105" s="21">
        <f t="shared" si="38"/>
        <v>11.201791201050206</v>
      </c>
      <c r="R105" s="21" t="str">
        <f t="shared" si="37"/>
        <v/>
      </c>
      <c r="S105" s="21">
        <f t="shared" si="36"/>
        <v>10.998790900575059</v>
      </c>
      <c r="T105" s="21" t="str">
        <f t="shared" si="35"/>
        <v/>
      </c>
      <c r="U105" s="21">
        <f t="shared" si="34"/>
        <v>10.796207642123548</v>
      </c>
      <c r="V105" s="21" t="str">
        <f t="shared" si="33"/>
        <v/>
      </c>
      <c r="W105" s="21">
        <f t="shared" si="32"/>
        <v>10.594839387809488</v>
      </c>
      <c r="X105" s="21" t="str">
        <f t="shared" si="31"/>
        <v/>
      </c>
      <c r="Y105" s="21">
        <f t="shared" si="30"/>
        <v>10.39579909228204</v>
      </c>
      <c r="Z105" s="21" t="str">
        <f t="shared" si="29"/>
        <v/>
      </c>
      <c r="AA105" s="21">
        <f t="shared" si="28"/>
        <v>10.200629804667217</v>
      </c>
      <c r="AB105" s="21" t="str">
        <f t="shared" si="27"/>
        <v/>
      </c>
      <c r="AC105" s="21">
        <f t="shared" si="26"/>
        <v>10.011401173665726</v>
      </c>
      <c r="AD105" s="21" t="str">
        <f t="shared" si="25"/>
        <v/>
      </c>
      <c r="AE105" s="21">
        <f t="shared" si="24"/>
        <v>9.8305347691722584</v>
      </c>
      <c r="AF105" s="21" t="str">
        <f t="shared" si="23"/>
        <v/>
      </c>
      <c r="AG105" s="21">
        <f t="shared" si="22"/>
        <v>9.6589984742648003</v>
      </c>
      <c r="AH105" s="21" t="str">
        <f t="shared" si="21"/>
        <v/>
      </c>
      <c r="AI105" s="21">
        <f t="shared" si="20"/>
        <v>9.4840940660534123</v>
      </c>
      <c r="AJ105" s="52" t="str">
        <f t="shared" si="13"/>
        <v/>
      </c>
      <c r="AL105" s="21" t="str">
        <f t="shared" si="14"/>
        <v/>
      </c>
      <c r="AM105" s="21" t="str">
        <f t="shared" si="15"/>
        <v/>
      </c>
      <c r="AN105" s="21" t="str">
        <f t="shared" si="16"/>
        <v/>
      </c>
      <c r="AO105" s="21" t="str">
        <f t="shared" si="17"/>
        <v/>
      </c>
      <c r="AP105" s="21" t="str">
        <f t="shared" si="18"/>
        <v/>
      </c>
      <c r="AQ105" s="21" t="str">
        <f t="shared" si="19"/>
        <v/>
      </c>
    </row>
    <row r="106" spans="4:43" x14ac:dyDescent="0.25">
      <c r="F106" s="49"/>
      <c r="J106" s="21">
        <f>IF(K105&lt;&gt;"",EXP(-$C$3*$H$3)*($H$6*K105+(1-$H$6)*K107),"")</f>
        <v>10.495698931451555</v>
      </c>
      <c r="K106" s="21" t="str">
        <f t="shared" ref="K106:K115" si="44">IF(L105&lt;&gt;"",EXP(-$C$3*$H$3)*($H$6*L105+(1-$H$6)*L107),"")</f>
        <v/>
      </c>
      <c r="L106" s="21">
        <f t="shared" si="43"/>
        <v>10.282836277258959</v>
      </c>
      <c r="M106" s="21" t="str">
        <f t="shared" si="42"/>
        <v/>
      </c>
      <c r="N106" s="21">
        <f t="shared" si="41"/>
        <v>10.0680321046272</v>
      </c>
      <c r="O106" s="21" t="str">
        <f t="shared" si="40"/>
        <v/>
      </c>
      <c r="P106" s="21">
        <f t="shared" si="39"/>
        <v>9.851427048075319</v>
      </c>
      <c r="Q106" s="21" t="str">
        <f t="shared" si="38"/>
        <v/>
      </c>
      <c r="R106" s="21">
        <f t="shared" si="37"/>
        <v>9.6332461791281592</v>
      </c>
      <c r="S106" s="21" t="str">
        <f t="shared" si="36"/>
        <v/>
      </c>
      <c r="T106" s="21">
        <f t="shared" si="35"/>
        <v>9.4138416980667561</v>
      </c>
      <c r="U106" s="21" t="str">
        <f t="shared" si="34"/>
        <v/>
      </c>
      <c r="V106" s="21">
        <f t="shared" si="33"/>
        <v>9.1937611988487689</v>
      </c>
      <c r="W106" s="21" t="str">
        <f t="shared" si="32"/>
        <v/>
      </c>
      <c r="X106" s="21">
        <f t="shared" si="31"/>
        <v>8.9738600638965806</v>
      </c>
      <c r="Y106" s="21" t="str">
        <f t="shared" si="30"/>
        <v/>
      </c>
      <c r="Z106" s="21">
        <f t="shared" si="29"/>
        <v>8.7554923567562462</v>
      </c>
      <c r="AA106" s="21" t="str">
        <f t="shared" si="28"/>
        <v/>
      </c>
      <c r="AB106" s="21">
        <f t="shared" si="27"/>
        <v>8.5408443406141608</v>
      </c>
      <c r="AC106" s="21" t="str">
        <f t="shared" si="26"/>
        <v/>
      </c>
      <c r="AD106" s="21">
        <f t="shared" si="25"/>
        <v>8.3335216076881071</v>
      </c>
      <c r="AE106" s="21" t="str">
        <f t="shared" si="24"/>
        <v/>
      </c>
      <c r="AF106" s="21">
        <f t="shared" si="23"/>
        <v>8.139478985791694</v>
      </c>
      <c r="AG106" s="21" t="str">
        <f t="shared" si="22"/>
        <v/>
      </c>
      <c r="AH106" s="21">
        <f t="shared" si="21"/>
        <v>7.9670272868555889</v>
      </c>
      <c r="AI106" s="21" t="str">
        <f t="shared" si="20"/>
        <v/>
      </c>
      <c r="AJ106" s="52">
        <f t="shared" si="13"/>
        <v>7.7910391977993783</v>
      </c>
      <c r="AL106" s="21">
        <f t="shared" si="14"/>
        <v>0.15317615072399338</v>
      </c>
      <c r="AM106" s="21">
        <f t="shared" si="15"/>
        <v>-1.1140616527556435E-2</v>
      </c>
      <c r="AN106" s="21">
        <f t="shared" si="16"/>
        <v>1.3744191122225466</v>
      </c>
      <c r="AO106" s="21">
        <f t="shared" si="17"/>
        <v>1.2101023449709969</v>
      </c>
      <c r="AP106" s="21">
        <f t="shared" si="18"/>
        <v>7.7910391977993783</v>
      </c>
      <c r="AQ106" s="21">
        <f t="shared" si="19"/>
        <v>0.74803593224814868</v>
      </c>
    </row>
    <row r="107" spans="4:43" x14ac:dyDescent="0.25">
      <c r="F107" s="49"/>
      <c r="I107" s="21">
        <f>IF(J106&lt;&gt;"",EXP(-$C$3*$H$3)*($H$6*J106+(1-$H$6)*J108),"")</f>
        <v>9.4221382515644194</v>
      </c>
      <c r="J107" s="21" t="str">
        <f t="shared" ref="J107:J114" si="45">IF(K106&lt;&gt;"",EXP(-$C$3*$H$3)*($H$6*K106+(1-$H$6)*K108),"")</f>
        <v/>
      </c>
      <c r="K107" s="21">
        <f t="shared" si="44"/>
        <v>9.2007267125653591</v>
      </c>
      <c r="L107" s="21" t="str">
        <f t="shared" si="43"/>
        <v/>
      </c>
      <c r="M107" s="21">
        <f t="shared" si="42"/>
        <v>8.9763575339621795</v>
      </c>
      <c r="N107" s="21" t="str">
        <f t="shared" si="41"/>
        <v/>
      </c>
      <c r="O107" s="21">
        <f t="shared" si="40"/>
        <v>8.7489822535820529</v>
      </c>
      <c r="P107" s="21" t="str">
        <f t="shared" si="39"/>
        <v/>
      </c>
      <c r="Q107" s="21">
        <f t="shared" si="38"/>
        <v>8.5185841118246763</v>
      </c>
      <c r="R107" s="21" t="str">
        <f t="shared" si="37"/>
        <v/>
      </c>
      <c r="S107" s="21">
        <f t="shared" si="36"/>
        <v>8.2852012140765652</v>
      </c>
      <c r="T107" s="21" t="str">
        <f t="shared" si="35"/>
        <v/>
      </c>
      <c r="U107" s="21">
        <f t="shared" si="34"/>
        <v>8.0489665769414884</v>
      </c>
      <c r="V107" s="21" t="str">
        <f t="shared" si="33"/>
        <v/>
      </c>
      <c r="W107" s="21">
        <f t="shared" si="32"/>
        <v>7.810179825491729</v>
      </c>
      <c r="X107" s="21" t="str">
        <f t="shared" si="31"/>
        <v/>
      </c>
      <c r="Y107" s="21">
        <f t="shared" si="30"/>
        <v>7.5694414321589569</v>
      </c>
      <c r="Z107" s="21" t="str">
        <f t="shared" si="29"/>
        <v/>
      </c>
      <c r="AA107" s="21">
        <f t="shared" si="28"/>
        <v>7.3279189106557077</v>
      </c>
      <c r="AB107" s="21" t="str">
        <f t="shared" si="27"/>
        <v/>
      </c>
      <c r="AC107" s="21">
        <f t="shared" si="26"/>
        <v>7.087915642339353</v>
      </c>
      <c r="AD107" s="21" t="str">
        <f t="shared" si="25"/>
        <v/>
      </c>
      <c r="AE107" s="21">
        <f t="shared" si="24"/>
        <v>6.8542140093496311</v>
      </c>
      <c r="AF107" s="21" t="str">
        <f t="shared" si="23"/>
        <v/>
      </c>
      <c r="AG107" s="21">
        <f t="shared" si="22"/>
        <v>6.6377191920217919</v>
      </c>
      <c r="AH107" s="21" t="str">
        <f t="shared" si="21"/>
        <v/>
      </c>
      <c r="AI107" s="21">
        <f t="shared" si="20"/>
        <v>6.4675857409687803</v>
      </c>
      <c r="AJ107" s="52" t="str">
        <f t="shared" si="13"/>
        <v/>
      </c>
      <c r="AL107" s="21" t="str">
        <f t="shared" si="14"/>
        <v/>
      </c>
      <c r="AM107" s="21" t="str">
        <f t="shared" si="15"/>
        <v/>
      </c>
      <c r="AN107" s="21" t="str">
        <f t="shared" si="16"/>
        <v/>
      </c>
      <c r="AO107" s="21" t="str">
        <f t="shared" si="17"/>
        <v/>
      </c>
      <c r="AP107" s="21" t="str">
        <f t="shared" si="18"/>
        <v/>
      </c>
      <c r="AQ107" s="21" t="str">
        <f t="shared" si="19"/>
        <v/>
      </c>
    </row>
    <row r="108" spans="4:43" x14ac:dyDescent="0.25">
      <c r="F108" s="49"/>
      <c r="H108" s="21">
        <f>IF(I107&lt;&gt;"",EXP(-$C$3*$H$3)*($H$6*I107+(1-$H$6)*I109),"")</f>
        <v>8.5898488693788693</v>
      </c>
      <c r="I108" s="21" t="str">
        <f t="shared" ref="I108:I113" si="46">IF(J107&lt;&gt;"",EXP(-$C$3*$H$3)*($H$6*J107+(1-$H$6)*J109),"")</f>
        <v/>
      </c>
      <c r="J108" s="21">
        <f t="shared" si="45"/>
        <v>8.3635631464448874</v>
      </c>
      <c r="K108" s="21" t="str">
        <f t="shared" si="44"/>
        <v/>
      </c>
      <c r="L108" s="21">
        <f t="shared" si="43"/>
        <v>8.133525197671629</v>
      </c>
      <c r="M108" s="21" t="str">
        <f t="shared" si="42"/>
        <v/>
      </c>
      <c r="N108" s="21">
        <f t="shared" si="41"/>
        <v>7.8995197856851771</v>
      </c>
      <c r="O108" s="21" t="str">
        <f t="shared" si="40"/>
        <v/>
      </c>
      <c r="P108" s="21">
        <f t="shared" si="39"/>
        <v>7.6613108568994228</v>
      </c>
      <c r="Q108" s="21" t="str">
        <f t="shared" si="38"/>
        <v/>
      </c>
      <c r="R108" s="21">
        <f t="shared" si="37"/>
        <v>7.418641775680249</v>
      </c>
      <c r="S108" s="21" t="str">
        <f t="shared" si="36"/>
        <v/>
      </c>
      <c r="T108" s="21">
        <f t="shared" si="35"/>
        <v>7.1712391315894308</v>
      </c>
      <c r="U108" s="21" t="str">
        <f t="shared" si="34"/>
        <v/>
      </c>
      <c r="V108" s="21">
        <f t="shared" si="33"/>
        <v>6.9188248229520468</v>
      </c>
      <c r="W108" s="21" t="str">
        <f t="shared" si="32"/>
        <v/>
      </c>
      <c r="X108" s="21">
        <f t="shared" si="31"/>
        <v>6.6611474350761588</v>
      </c>
      <c r="Y108" s="21" t="str">
        <f t="shared" si="30"/>
        <v/>
      </c>
      <c r="Z108" s="21">
        <f t="shared" si="29"/>
        <v>6.3980603751457217</v>
      </c>
      <c r="AA108" s="21" t="str">
        <f t="shared" si="28"/>
        <v/>
      </c>
      <c r="AB108" s="21">
        <f t="shared" si="27"/>
        <v>6.1297214657037289</v>
      </c>
      <c r="AC108" s="21" t="str">
        <f t="shared" si="26"/>
        <v/>
      </c>
      <c r="AD108" s="21">
        <f t="shared" si="25"/>
        <v>5.8571439945417376</v>
      </c>
      <c r="AE108" s="21" t="str">
        <f t="shared" si="24"/>
        <v/>
      </c>
      <c r="AF108" s="21">
        <f t="shared" si="23"/>
        <v>5.5839506065804541</v>
      </c>
      <c r="AG108" s="21" t="str">
        <f t="shared" si="22"/>
        <v/>
      </c>
      <c r="AH108" s="21">
        <f t="shared" si="21"/>
        <v>5.3236269986814095</v>
      </c>
      <c r="AI108" s="21" t="str">
        <f t="shared" si="20"/>
        <v/>
      </c>
      <c r="AJ108" s="52">
        <f t="shared" si="13"/>
        <v>5.1591876041491389</v>
      </c>
      <c r="AL108" s="21">
        <f t="shared" si="14"/>
        <v>-0.14496624627598012</v>
      </c>
      <c r="AM108" s="21">
        <f t="shared" si="15"/>
        <v>-0.30928301352752996</v>
      </c>
      <c r="AN108" s="21">
        <f t="shared" si="16"/>
        <v>1.0762767152225723</v>
      </c>
      <c r="AO108" s="21">
        <f t="shared" si="17"/>
        <v>0.91195994797102253</v>
      </c>
      <c r="AP108" s="21">
        <f t="shared" si="18"/>
        <v>5.1591876041491389</v>
      </c>
      <c r="AQ108" s="21">
        <f t="shared" si="19"/>
        <v>1.3290368941155641</v>
      </c>
    </row>
    <row r="109" spans="4:43" x14ac:dyDescent="0.25">
      <c r="F109" s="49"/>
      <c r="G109" s="21">
        <f>IF(H108&lt;&gt;"",EXP(-$C$3*$H$3)*($H$6*H108+(1-$H$6)*H110),"")</f>
        <v>7.997082410237053</v>
      </c>
      <c r="H109" s="21" t="str">
        <f t="shared" ref="H109:H112" si="47">IF(I108&lt;&gt;"",EXP(-$C$3*$H$3)*($H$6*I108+(1-$H$6)*I110),"")</f>
        <v/>
      </c>
      <c r="I109" s="21">
        <f t="shared" si="46"/>
        <v>7.7700306967950263</v>
      </c>
      <c r="J109" s="21" t="str">
        <f t="shared" si="45"/>
        <v/>
      </c>
      <c r="K109" s="21">
        <f t="shared" si="44"/>
        <v>7.5387601508219593</v>
      </c>
      <c r="L109" s="21" t="str">
        <f t="shared" si="43"/>
        <v/>
      </c>
      <c r="M109" s="21">
        <f t="shared" si="42"/>
        <v>7.3029467614701904</v>
      </c>
      <c r="N109" s="21" t="str">
        <f t="shared" si="41"/>
        <v/>
      </c>
      <c r="O109" s="21">
        <f t="shared" si="40"/>
        <v>7.062209729207293</v>
      </c>
      <c r="P109" s="21" t="str">
        <f t="shared" si="39"/>
        <v/>
      </c>
      <c r="Q109" s="21">
        <f t="shared" si="38"/>
        <v>6.8160953326873353</v>
      </c>
      <c r="R109" s="21" t="str">
        <f t="shared" si="37"/>
        <v/>
      </c>
      <c r="S109" s="21">
        <f t="shared" si="36"/>
        <v>6.5640544212398266</v>
      </c>
      <c r="T109" s="21" t="str">
        <f t="shared" si="35"/>
        <v/>
      </c>
      <c r="U109" s="21">
        <f t="shared" si="34"/>
        <v>6.3054102802983518</v>
      </c>
      <c r="V109" s="21" t="str">
        <f t="shared" si="33"/>
        <v/>
      </c>
      <c r="W109" s="21">
        <f t="shared" si="32"/>
        <v>6.0393115940006519</v>
      </c>
      <c r="X109" s="21" t="str">
        <f t="shared" si="31"/>
        <v/>
      </c>
      <c r="Y109" s="21">
        <f t="shared" si="30"/>
        <v>5.7646618198885351</v>
      </c>
      <c r="Z109" s="21" t="str">
        <f t="shared" si="29"/>
        <v/>
      </c>
      <c r="AA109" s="21">
        <f t="shared" si="28"/>
        <v>5.4800108456829575</v>
      </c>
      <c r="AB109" s="21" t="str">
        <f t="shared" si="27"/>
        <v/>
      </c>
      <c r="AC109" s="21">
        <f t="shared" si="26"/>
        <v>5.1833884844974136</v>
      </c>
      <c r="AD109" s="21" t="str">
        <f t="shared" si="25"/>
        <v/>
      </c>
      <c r="AE109" s="21">
        <f t="shared" si="24"/>
        <v>4.8720702474885771</v>
      </c>
      <c r="AF109" s="21" t="str">
        <f t="shared" si="23"/>
        <v/>
      </c>
      <c r="AG109" s="21">
        <f t="shared" si="22"/>
        <v>4.5424578608838226</v>
      </c>
      <c r="AH109" s="21" t="str">
        <f t="shared" si="21"/>
        <v/>
      </c>
      <c r="AI109" s="21">
        <f t="shared" si="20"/>
        <v>4.1925045196508064</v>
      </c>
      <c r="AJ109" s="52" t="str">
        <f t="shared" si="13"/>
        <v/>
      </c>
      <c r="AL109" s="21" t="str">
        <f t="shared" si="14"/>
        <v/>
      </c>
      <c r="AM109" s="21" t="str">
        <f t="shared" si="15"/>
        <v/>
      </c>
      <c r="AN109" s="21" t="str">
        <f t="shared" si="16"/>
        <v/>
      </c>
      <c r="AO109" s="21" t="str">
        <f t="shared" si="17"/>
        <v/>
      </c>
      <c r="AP109" s="21" t="str">
        <f t="shared" si="18"/>
        <v/>
      </c>
      <c r="AQ109" s="21" t="str">
        <f t="shared" si="19"/>
        <v/>
      </c>
    </row>
    <row r="110" spans="4:43" x14ac:dyDescent="0.25">
      <c r="D110" s="123" t="s">
        <v>71</v>
      </c>
      <c r="E110" s="124"/>
      <c r="F110" s="57">
        <f>IF(G109&lt;&gt;"",EXP(-$C$3*$H$3)*($H$6*G109+(1-$H$6)*G111),"")</f>
        <v>7.6380857799197583</v>
      </c>
      <c r="G110" s="21" t="str">
        <f t="shared" ref="G110:G111" si="48">IF(H109&lt;&gt;"",EXP(-$C$3*$H$3)*($H$6*H109+(1-$H$6)*H111),"")</f>
        <v/>
      </c>
      <c r="H110" s="21">
        <f t="shared" si="47"/>
        <v>7.4144460700900581</v>
      </c>
      <c r="I110" s="21" t="str">
        <f t="shared" si="46"/>
        <v/>
      </c>
      <c r="J110" s="21">
        <f t="shared" si="45"/>
        <v>7.1864838164814211</v>
      </c>
      <c r="K110" s="21" t="str">
        <f t="shared" si="44"/>
        <v/>
      </c>
      <c r="L110" s="21">
        <f t="shared" si="43"/>
        <v>6.9538371158324077</v>
      </c>
      <c r="M110" s="21" t="str">
        <f t="shared" si="42"/>
        <v/>
      </c>
      <c r="N110" s="21">
        <f t="shared" si="41"/>
        <v>6.7160738530451605</v>
      </c>
      <c r="O110" s="21" t="str">
        <f t="shared" si="40"/>
        <v/>
      </c>
      <c r="P110" s="21">
        <f t="shared" si="39"/>
        <v>6.4726694066290973</v>
      </c>
      <c r="Q110" s="21" t="str">
        <f t="shared" si="38"/>
        <v/>
      </c>
      <c r="R110" s="21">
        <f t="shared" si="37"/>
        <v>6.2229742706408953</v>
      </c>
      <c r="S110" s="21" t="str">
        <f t="shared" si="36"/>
        <v/>
      </c>
      <c r="T110" s="21">
        <f t="shared" si="35"/>
        <v>5.9661654314255008</v>
      </c>
      <c r="U110" s="21" t="str">
        <f t="shared" si="34"/>
        <v/>
      </c>
      <c r="V110" s="21">
        <f t="shared" si="33"/>
        <v>5.7011703530844215</v>
      </c>
      <c r="W110" s="21" t="str">
        <f t="shared" si="32"/>
        <v/>
      </c>
      <c r="X110" s="21">
        <f t="shared" si="31"/>
        <v>5.4265421307825612</v>
      </c>
      <c r="Y110" s="21" t="str">
        <f t="shared" si="30"/>
        <v/>
      </c>
      <c r="Z110" s="21">
        <f t="shared" si="29"/>
        <v>5.1402412678578626</v>
      </c>
      <c r="AA110" s="21" t="str">
        <f t="shared" si="28"/>
        <v/>
      </c>
      <c r="AB110" s="21">
        <f t="shared" si="27"/>
        <v>4.8392218276369485</v>
      </c>
      <c r="AC110" s="21" t="str">
        <f t="shared" si="26"/>
        <v/>
      </c>
      <c r="AD110" s="21">
        <f t="shared" si="25"/>
        <v>4.5185530975184776</v>
      </c>
      <c r="AE110" s="21" t="str">
        <f t="shared" si="24"/>
        <v/>
      </c>
      <c r="AF110" s="21">
        <f t="shared" si="23"/>
        <v>4.169213251360353</v>
      </c>
      <c r="AG110" s="21" t="str">
        <f t="shared" si="22"/>
        <v/>
      </c>
      <c r="AH110" s="21">
        <f t="shared" si="21"/>
        <v>3.7706565573926905</v>
      </c>
      <c r="AI110" s="21" t="str">
        <f t="shared" si="20"/>
        <v/>
      </c>
      <c r="AJ110" s="52">
        <f t="shared" si="13"/>
        <v>3.2364652079548826</v>
      </c>
      <c r="AL110" s="21">
        <f t="shared" si="14"/>
        <v>-0.44310864327595362</v>
      </c>
      <c r="AM110" s="21">
        <f t="shared" si="15"/>
        <v>-0.60742541052750343</v>
      </c>
      <c r="AN110" s="21">
        <f t="shared" si="16"/>
        <v>0.77813431822260004</v>
      </c>
      <c r="AO110" s="21">
        <f t="shared" si="17"/>
        <v>0.61381755097105017</v>
      </c>
      <c r="AP110" s="21">
        <f t="shared" si="18"/>
        <v>3.2364652079548826</v>
      </c>
      <c r="AQ110" s="21">
        <f t="shared" si="19"/>
        <v>2.2148437105826169</v>
      </c>
    </row>
    <row r="111" spans="4:43" x14ac:dyDescent="0.25">
      <c r="F111" s="49"/>
      <c r="G111" s="21">
        <f t="shared" si="48"/>
        <v>7.2870801926939972</v>
      </c>
      <c r="H111" s="21" t="str">
        <f t="shared" si="47"/>
        <v/>
      </c>
      <c r="I111" s="21">
        <f t="shared" si="46"/>
        <v>7.0666762332140705</v>
      </c>
      <c r="J111" s="21" t="str">
        <f t="shared" si="45"/>
        <v/>
      </c>
      <c r="K111" s="21">
        <f t="shared" si="44"/>
        <v>6.8418439914777824</v>
      </c>
      <c r="L111" s="21" t="str">
        <f t="shared" si="43"/>
        <v/>
      </c>
      <c r="M111" s="21">
        <f t="shared" si="42"/>
        <v>6.6121837395681418</v>
      </c>
      <c r="N111" s="21" t="str">
        <f t="shared" si="41"/>
        <v/>
      </c>
      <c r="O111" s="21">
        <f t="shared" si="40"/>
        <v>6.3772121770923418</v>
      </c>
      <c r="P111" s="21" t="str">
        <f t="shared" si="39"/>
        <v/>
      </c>
      <c r="Q111" s="21">
        <f t="shared" si="38"/>
        <v>6.136334010488655</v>
      </c>
      <c r="R111" s="21" t="str">
        <f t="shared" si="37"/>
        <v/>
      </c>
      <c r="S111" s="21">
        <f t="shared" si="36"/>
        <v>5.8887997631692448</v>
      </c>
      <c r="T111" s="21" t="str">
        <f t="shared" si="35"/>
        <v/>
      </c>
      <c r="U111" s="21">
        <f t="shared" si="34"/>
        <v>5.6336407653466143</v>
      </c>
      <c r="V111" s="21" t="str">
        <f t="shared" si="33"/>
        <v/>
      </c>
      <c r="W111" s="21">
        <f t="shared" si="32"/>
        <v>5.3695643474914503</v>
      </c>
      <c r="X111" s="21" t="str">
        <f t="shared" si="31"/>
        <v/>
      </c>
      <c r="Y111" s="21">
        <f t="shared" si="30"/>
        <v>5.0947751301897197</v>
      </c>
      <c r="Z111" s="21" t="str">
        <f t="shared" si="29"/>
        <v/>
      </c>
      <c r="AA111" s="21">
        <f t="shared" si="28"/>
        <v>4.8066476700547041</v>
      </c>
      <c r="AB111" s="21" t="str">
        <f t="shared" si="27"/>
        <v/>
      </c>
      <c r="AC111" s="21">
        <f t="shared" si="26"/>
        <v>4.5010670043605376</v>
      </c>
      <c r="AD111" s="21" t="str">
        <f t="shared" si="25"/>
        <v/>
      </c>
      <c r="AE111" s="21">
        <f t="shared" si="24"/>
        <v>4.1709108602432439</v>
      </c>
      <c r="AF111" s="21" t="str">
        <f t="shared" si="23"/>
        <v/>
      </c>
      <c r="AG111" s="21">
        <f t="shared" si="22"/>
        <v>3.801771964573986</v>
      </c>
      <c r="AH111" s="21" t="str">
        <f t="shared" si="21"/>
        <v/>
      </c>
      <c r="AI111" s="21">
        <f t="shared" si="20"/>
        <v>3.3547424216079267</v>
      </c>
      <c r="AJ111" s="52" t="str">
        <f t="shared" si="13"/>
        <v/>
      </c>
      <c r="AL111" s="21" t="str">
        <f t="shared" si="14"/>
        <v/>
      </c>
      <c r="AM111" s="21" t="str">
        <f t="shared" si="15"/>
        <v/>
      </c>
      <c r="AN111" s="21" t="str">
        <f t="shared" si="16"/>
        <v/>
      </c>
      <c r="AO111" s="21" t="str">
        <f t="shared" si="17"/>
        <v/>
      </c>
      <c r="AP111" s="21" t="str">
        <f t="shared" si="18"/>
        <v/>
      </c>
      <c r="AQ111" s="21" t="str">
        <f t="shared" si="19"/>
        <v/>
      </c>
    </row>
    <row r="112" spans="4:43" x14ac:dyDescent="0.25">
      <c r="F112" s="49"/>
      <c r="H112" s="21">
        <f t="shared" si="47"/>
        <v>7.1655889809458806</v>
      </c>
      <c r="I112" s="21" t="str">
        <f t="shared" si="46"/>
        <v/>
      </c>
      <c r="J112" s="21">
        <f t="shared" si="45"/>
        <v>6.9525354994519608</v>
      </c>
      <c r="K112" s="21" t="str">
        <f t="shared" si="44"/>
        <v/>
      </c>
      <c r="L112" s="21">
        <f t="shared" si="43"/>
        <v>6.735304877047489</v>
      </c>
      <c r="M112" s="21" t="str">
        <f t="shared" si="42"/>
        <v/>
      </c>
      <c r="N112" s="21">
        <f t="shared" si="41"/>
        <v>6.5135292442244666</v>
      </c>
      <c r="O112" s="21" t="str">
        <f t="shared" si="40"/>
        <v/>
      </c>
      <c r="P112" s="21">
        <f t="shared" si="39"/>
        <v>6.2867659647805638</v>
      </c>
      <c r="Q112" s="21" t="str">
        <f t="shared" si="38"/>
        <v/>
      </c>
      <c r="R112" s="21">
        <f t="shared" si="37"/>
        <v>6.0544731214440901</v>
      </c>
      <c r="S112" s="21" t="str">
        <f t="shared" si="36"/>
        <v/>
      </c>
      <c r="T112" s="21">
        <f t="shared" si="35"/>
        <v>5.8159736790946006</v>
      </c>
      <c r="U112" s="21" t="str">
        <f t="shared" si="34"/>
        <v/>
      </c>
      <c r="V112" s="21">
        <f t="shared" si="33"/>
        <v>5.5704013463048669</v>
      </c>
      <c r="W112" s="21" t="str">
        <f t="shared" si="32"/>
        <v/>
      </c>
      <c r="X112" s="21">
        <f t="shared" si="31"/>
        <v>5.316615576413624</v>
      </c>
      <c r="Y112" s="21" t="str">
        <f t="shared" si="30"/>
        <v/>
      </c>
      <c r="Z112" s="21">
        <f t="shared" si="29"/>
        <v>5.0530619301940876</v>
      </c>
      <c r="AA112" s="21" t="str">
        <f t="shared" si="28"/>
        <v/>
      </c>
      <c r="AB112" s="21">
        <f t="shared" si="27"/>
        <v>4.7775302952324337</v>
      </c>
      <c r="AC112" s="21" t="str">
        <f t="shared" si="26"/>
        <v/>
      </c>
      <c r="AD112" s="21">
        <f t="shared" si="25"/>
        <v>4.4867120935689204</v>
      </c>
      <c r="AE112" s="21" t="str">
        <f t="shared" si="24"/>
        <v/>
      </c>
      <c r="AF112" s="21">
        <f t="shared" si="23"/>
        <v>4.1753644315312144</v>
      </c>
      <c r="AG112" s="21" t="str">
        <f t="shared" si="22"/>
        <v/>
      </c>
      <c r="AH112" s="21">
        <f t="shared" si="21"/>
        <v>3.8351590181700366</v>
      </c>
      <c r="AI112" s="21" t="str">
        <f t="shared" si="20"/>
        <v/>
      </c>
      <c r="AJ112" s="52">
        <f t="shared" si="13"/>
        <v>3.474285750333781</v>
      </c>
      <c r="AL112" s="21">
        <f t="shared" si="14"/>
        <v>-0.7412510402759267</v>
      </c>
      <c r="AM112" s="21">
        <f t="shared" si="15"/>
        <v>-0.90556780752747645</v>
      </c>
      <c r="AN112" s="21">
        <f t="shared" si="16"/>
        <v>0.4799919212226269</v>
      </c>
      <c r="AO112" s="21">
        <f t="shared" si="17"/>
        <v>0.31567515397107709</v>
      </c>
      <c r="AP112" s="21">
        <f t="shared" si="18"/>
        <v>1.9153018271738453</v>
      </c>
      <c r="AQ112" s="21">
        <f t="shared" si="19"/>
        <v>3.474285750333781</v>
      </c>
    </row>
    <row r="113" spans="6:43" x14ac:dyDescent="0.25">
      <c r="F113" s="49"/>
      <c r="I113" s="21">
        <f t="shared" si="46"/>
        <v>7.2684559455999889</v>
      </c>
      <c r="J113" s="21" t="str">
        <f t="shared" si="45"/>
        <v/>
      </c>
      <c r="K113" s="21">
        <f t="shared" si="44"/>
        <v>7.0669439746924123</v>
      </c>
      <c r="L113" s="21" t="str">
        <f t="shared" si="43"/>
        <v/>
      </c>
      <c r="M113" s="21">
        <f t="shared" si="42"/>
        <v>6.861897666307831</v>
      </c>
      <c r="N113" s="21" t="str">
        <f t="shared" si="41"/>
        <v/>
      </c>
      <c r="O113" s="21">
        <f t="shared" si="40"/>
        <v>6.6530633990160482</v>
      </c>
      <c r="P113" s="21" t="str">
        <f t="shared" si="39"/>
        <v/>
      </c>
      <c r="Q113" s="21">
        <f t="shared" si="38"/>
        <v>6.4401496588451836</v>
      </c>
      <c r="R113" s="21" t="str">
        <f t="shared" si="37"/>
        <v/>
      </c>
      <c r="S113" s="21">
        <f t="shared" si="36"/>
        <v>6.2228200403981706</v>
      </c>
      <c r="T113" s="21" t="str">
        <f t="shared" si="35"/>
        <v/>
      </c>
      <c r="U113" s="21">
        <f t="shared" si="34"/>
        <v>6.000686322473646</v>
      </c>
      <c r="V113" s="21" t="str">
        <f t="shared" si="33"/>
        <v/>
      </c>
      <c r="W113" s="21">
        <f t="shared" si="32"/>
        <v>5.7733045497809412</v>
      </c>
      <c r="X113" s="21" t="str">
        <f t="shared" si="31"/>
        <v/>
      </c>
      <c r="Y113" s="21">
        <f t="shared" si="30"/>
        <v>5.5401829268594414</v>
      </c>
      <c r="Z113" s="21" t="str">
        <f t="shared" si="29"/>
        <v/>
      </c>
      <c r="AA113" s="21">
        <f t="shared" si="28"/>
        <v>5.300828278533948</v>
      </c>
      <c r="AB113" s="21" t="str">
        <f t="shared" si="27"/>
        <v/>
      </c>
      <c r="AC113" s="21">
        <f t="shared" si="26"/>
        <v>5.0549183875527977</v>
      </c>
      <c r="AD113" s="21" t="str">
        <f t="shared" si="25"/>
        <v/>
      </c>
      <c r="AE113" s="21">
        <f t="shared" si="24"/>
        <v>4.8029251662931776</v>
      </c>
      <c r="AF113" s="21" t="str">
        <f t="shared" si="23"/>
        <v/>
      </c>
      <c r="AG113" s="21">
        <f t="shared" si="22"/>
        <v>4.5486921074309459</v>
      </c>
      <c r="AH113" s="21" t="str">
        <f t="shared" si="21"/>
        <v/>
      </c>
      <c r="AI113" s="21">
        <f t="shared" si="20"/>
        <v>4.3142163651639143</v>
      </c>
      <c r="AJ113" s="52" t="str">
        <f t="shared" si="13"/>
        <v/>
      </c>
      <c r="AL113" s="21" t="str">
        <f t="shared" si="14"/>
        <v/>
      </c>
      <c r="AM113" s="21" t="str">
        <f t="shared" si="15"/>
        <v/>
      </c>
      <c r="AN113" s="21" t="str">
        <f t="shared" si="16"/>
        <v/>
      </c>
      <c r="AO113" s="21" t="str">
        <f t="shared" si="17"/>
        <v/>
      </c>
      <c r="AP113" s="21" t="str">
        <f t="shared" si="18"/>
        <v/>
      </c>
      <c r="AQ113" s="21" t="str">
        <f t="shared" si="19"/>
        <v/>
      </c>
    </row>
    <row r="114" spans="6:43" x14ac:dyDescent="0.25">
      <c r="F114" s="49"/>
      <c r="J114" s="21">
        <f t="shared" si="45"/>
        <v>7.5866345266033015</v>
      </c>
      <c r="K114" s="21" t="str">
        <f t="shared" si="44"/>
        <v/>
      </c>
      <c r="L114" s="21">
        <f t="shared" si="43"/>
        <v>7.4005795883791841</v>
      </c>
      <c r="M114" s="21" t="str">
        <f t="shared" si="42"/>
        <v/>
      </c>
      <c r="N114" s="21">
        <f t="shared" si="41"/>
        <v>7.2119904212520494</v>
      </c>
      <c r="O114" s="21" t="str">
        <f t="shared" si="40"/>
        <v/>
      </c>
      <c r="P114" s="21">
        <f t="shared" si="39"/>
        <v>7.0208007133475041</v>
      </c>
      <c r="Q114" s="21" t="str">
        <f t="shared" si="38"/>
        <v/>
      </c>
      <c r="R114" s="21">
        <f t="shared" si="37"/>
        <v>6.8269671244912784</v>
      </c>
      <c r="S114" s="21" t="str">
        <f t="shared" si="36"/>
        <v/>
      </c>
      <c r="T114" s="21">
        <f t="shared" si="35"/>
        <v>6.6304908861058092</v>
      </c>
      <c r="U114" s="21" t="str">
        <f t="shared" si="34"/>
        <v/>
      </c>
      <c r="V114" s="21">
        <f t="shared" si="33"/>
        <v>6.4314577024352442</v>
      </c>
      <c r="W114" s="21" t="str">
        <f t="shared" si="32"/>
        <v/>
      </c>
      <c r="X114" s="21">
        <f t="shared" si="31"/>
        <v>6.2301142510701775</v>
      </c>
      <c r="Y114" s="21" t="str">
        <f t="shared" si="30"/>
        <v/>
      </c>
      <c r="Z114" s="21">
        <f t="shared" si="29"/>
        <v>6.0270224138492647</v>
      </c>
      <c r="AA114" s="21" t="str">
        <f t="shared" si="28"/>
        <v/>
      </c>
      <c r="AB114" s="21">
        <f t="shared" si="27"/>
        <v>5.8233916656849187</v>
      </c>
      <c r="AC114" s="21" t="str">
        <f t="shared" si="26"/>
        <v/>
      </c>
      <c r="AD114" s="21">
        <f t="shared" si="25"/>
        <v>5.6218616552950138</v>
      </c>
      <c r="AE114" s="21" t="str">
        <f t="shared" si="24"/>
        <v/>
      </c>
      <c r="AF114" s="21">
        <f t="shared" si="23"/>
        <v>5.4285729499530815</v>
      </c>
      <c r="AG114" s="21" t="str">
        <f t="shared" si="22"/>
        <v/>
      </c>
      <c r="AH114" s="21">
        <f t="shared" si="21"/>
        <v>5.2594444149629034</v>
      </c>
      <c r="AI114" s="21" t="str">
        <f t="shared" si="20"/>
        <v/>
      </c>
      <c r="AJ114" s="52">
        <f t="shared" si="13"/>
        <v>5.1501828088186983</v>
      </c>
      <c r="AL114" s="21">
        <f t="shared" si="14"/>
        <v>-1.0393934372758984</v>
      </c>
      <c r="AM114" s="21">
        <f t="shared" si="15"/>
        <v>-1.2037102045274481</v>
      </c>
      <c r="AN114" s="21">
        <f t="shared" si="16"/>
        <v>0.18184952422265468</v>
      </c>
      <c r="AO114" s="21">
        <f t="shared" si="17"/>
        <v>1.7532756971104874E-2</v>
      </c>
      <c r="AP114" s="21">
        <f t="shared" si="18"/>
        <v>1.0652328612055033</v>
      </c>
      <c r="AQ114" s="21">
        <f t="shared" si="19"/>
        <v>5.1501828088186983</v>
      </c>
    </row>
    <row r="115" spans="6:43" x14ac:dyDescent="0.25">
      <c r="F115" s="49"/>
      <c r="K115" s="21">
        <f t="shared" si="44"/>
        <v>8.1071377416262198</v>
      </c>
      <c r="L115" s="21" t="str">
        <f t="shared" si="43"/>
        <v/>
      </c>
      <c r="M115" s="21">
        <f t="shared" si="42"/>
        <v>7.9397962102435899</v>
      </c>
      <c r="N115" s="21" t="str">
        <f t="shared" si="41"/>
        <v/>
      </c>
      <c r="O115" s="21">
        <f t="shared" si="40"/>
        <v>7.7711623035454407</v>
      </c>
      <c r="P115" s="21" t="str">
        <f t="shared" si="39"/>
        <v/>
      </c>
      <c r="Q115" s="21">
        <f t="shared" si="38"/>
        <v>7.6013930367016878</v>
      </c>
      <c r="R115" s="21" t="str">
        <f t="shared" si="37"/>
        <v/>
      </c>
      <c r="S115" s="21">
        <f t="shared" si="36"/>
        <v>7.4307357231976852</v>
      </c>
      <c r="T115" s="21" t="str">
        <f t="shared" si="35"/>
        <v/>
      </c>
      <c r="U115" s="21">
        <f t="shared" si="34"/>
        <v>7.2595778814321372</v>
      </c>
      <c r="V115" s="21" t="str">
        <f t="shared" si="33"/>
        <v/>
      </c>
      <c r="W115" s="21">
        <f t="shared" si="32"/>
        <v>7.0885306256723464</v>
      </c>
      <c r="X115" s="21" t="str">
        <f t="shared" si="31"/>
        <v/>
      </c>
      <c r="Y115" s="21">
        <f t="shared" si="30"/>
        <v>6.9185732661761614</v>
      </c>
      <c r="Z115" s="21" t="str">
        <f t="shared" si="29"/>
        <v/>
      </c>
      <c r="AA115" s="21">
        <f t="shared" si="28"/>
        <v>6.7513145367261735</v>
      </c>
      <c r="AB115" s="21" t="str">
        <f t="shared" si="27"/>
        <v/>
      </c>
      <c r="AC115" s="21">
        <f t="shared" si="26"/>
        <v>6.5894839540667904</v>
      </c>
      <c r="AD115" s="21" t="str">
        <f t="shared" si="25"/>
        <v/>
      </c>
      <c r="AE115" s="21">
        <f t="shared" si="24"/>
        <v>6.4378730312649157</v>
      </c>
      <c r="AF115" s="21" t="str">
        <f t="shared" si="23"/>
        <v/>
      </c>
      <c r="AG115" s="21">
        <f t="shared" si="22"/>
        <v>6.3049048114535413</v>
      </c>
      <c r="AH115" s="21" t="str">
        <f t="shared" si="21"/>
        <v/>
      </c>
      <c r="AI115" s="21">
        <f t="shared" si="20"/>
        <v>6.2004798620892867</v>
      </c>
      <c r="AJ115" s="52" t="str">
        <f t="shared" si="13"/>
        <v/>
      </c>
      <c r="AL115" s="21" t="str">
        <f t="shared" si="14"/>
        <v/>
      </c>
      <c r="AM115" s="21" t="str">
        <f t="shared" si="15"/>
        <v/>
      </c>
      <c r="AN115" s="21" t="str">
        <f t="shared" si="16"/>
        <v/>
      </c>
      <c r="AO115" s="21" t="str">
        <f t="shared" si="17"/>
        <v/>
      </c>
      <c r="AP115" s="21" t="str">
        <f t="shared" si="18"/>
        <v/>
      </c>
      <c r="AQ115" s="21" t="str">
        <f t="shared" si="19"/>
        <v/>
      </c>
    </row>
    <row r="116" spans="6:43" x14ac:dyDescent="0.25">
      <c r="F116" s="49"/>
      <c r="L116" s="21">
        <f t="shared" si="43"/>
        <v>8.8133348700975827</v>
      </c>
      <c r="M116" s="21" t="str">
        <f t="shared" si="42"/>
        <v/>
      </c>
      <c r="N116" s="21">
        <f t="shared" si="41"/>
        <v>8.6669570934119129</v>
      </c>
      <c r="O116" s="21" t="str">
        <f t="shared" si="40"/>
        <v/>
      </c>
      <c r="P116" s="21">
        <f t="shared" si="39"/>
        <v>8.5205836125397205</v>
      </c>
      <c r="Q116" s="21" t="str">
        <f t="shared" si="38"/>
        <v/>
      </c>
      <c r="R116" s="21">
        <f t="shared" si="37"/>
        <v>8.3745702732639309</v>
      </c>
      <c r="S116" s="21" t="str">
        <f t="shared" si="36"/>
        <v/>
      </c>
      <c r="T116" s="21">
        <f t="shared" si="35"/>
        <v>8.2294086345822759</v>
      </c>
      <c r="U116" s="21" t="str">
        <f t="shared" si="34"/>
        <v/>
      </c>
      <c r="V116" s="21">
        <f t="shared" si="33"/>
        <v>8.0857858324702132</v>
      </c>
      <c r="W116" s="21" t="str">
        <f t="shared" si="32"/>
        <v/>
      </c>
      <c r="X116" s="21">
        <f t="shared" si="31"/>
        <v>7.9446748606208679</v>
      </c>
      <c r="Y116" s="21" t="str">
        <f t="shared" si="30"/>
        <v/>
      </c>
      <c r="Z116" s="21">
        <f t="shared" si="29"/>
        <v>7.8074697141150891</v>
      </c>
      <c r="AA116" s="21" t="str">
        <f t="shared" si="28"/>
        <v/>
      </c>
      <c r="AB116" s="21">
        <f t="shared" si="27"/>
        <v>7.6761762077174174</v>
      </c>
      <c r="AC116" s="21" t="str">
        <f t="shared" si="26"/>
        <v/>
      </c>
      <c r="AD116" s="21">
        <f t="shared" si="25"/>
        <v>7.5536148081044399</v>
      </c>
      <c r="AE116" s="21" t="str">
        <f t="shared" si="24"/>
        <v/>
      </c>
      <c r="AF116" s="21">
        <f t="shared" si="23"/>
        <v>7.4432421245798901</v>
      </c>
      <c r="AG116" s="21" t="str">
        <f t="shared" si="22"/>
        <v/>
      </c>
      <c r="AH116" s="21">
        <f t="shared" si="21"/>
        <v>7.3460519167532832</v>
      </c>
      <c r="AI116" s="21" t="str">
        <f t="shared" si="20"/>
        <v/>
      </c>
      <c r="AJ116" s="52">
        <f t="shared" si="13"/>
        <v>7.2463549542947305</v>
      </c>
      <c r="AL116" s="21">
        <f t="shared" si="14"/>
        <v>-1.3375358342758707</v>
      </c>
      <c r="AM116" s="21">
        <f t="shared" si="15"/>
        <v>-1.5018526015274205</v>
      </c>
      <c r="AN116" s="21">
        <f t="shared" si="16"/>
        <v>-0.11629287277731799</v>
      </c>
      <c r="AO116" s="21">
        <f t="shared" si="17"/>
        <v>-0.28060964002886779</v>
      </c>
      <c r="AP116" s="21">
        <f t="shared" si="18"/>
        <v>0.55494441182471821</v>
      </c>
      <c r="AQ116" s="21">
        <f t="shared" si="19"/>
        <v>7.2463549542947305</v>
      </c>
    </row>
    <row r="117" spans="6:43" x14ac:dyDescent="0.25">
      <c r="F117" s="49"/>
      <c r="M117" s="21">
        <f t="shared" si="42"/>
        <v>9.6856238235987515</v>
      </c>
      <c r="N117" s="21" t="str">
        <f t="shared" si="41"/>
        <v/>
      </c>
      <c r="O117" s="21">
        <f t="shared" si="40"/>
        <v>9.5612240176026226</v>
      </c>
      <c r="P117" s="21" t="str">
        <f t="shared" si="39"/>
        <v/>
      </c>
      <c r="Q117" s="21">
        <f t="shared" si="38"/>
        <v>9.4379589001983462</v>
      </c>
      <c r="R117" s="21" t="str">
        <f t="shared" si="37"/>
        <v/>
      </c>
      <c r="S117" s="21">
        <f t="shared" si="36"/>
        <v>9.3162922033442861</v>
      </c>
      <c r="T117" s="21" t="str">
        <f t="shared" si="35"/>
        <v/>
      </c>
      <c r="U117" s="21">
        <f t="shared" si="34"/>
        <v>9.1968190071577656</v>
      </c>
      <c r="V117" s="21" t="str">
        <f t="shared" si="33"/>
        <v/>
      </c>
      <c r="W117" s="21">
        <f t="shared" si="32"/>
        <v>9.0803023075282834</v>
      </c>
      <c r="X117" s="21" t="str">
        <f t="shared" si="31"/>
        <v/>
      </c>
      <c r="Y117" s="21">
        <f t="shared" si="30"/>
        <v>8.9677094790745606</v>
      </c>
      <c r="Z117" s="21" t="str">
        <f t="shared" si="29"/>
        <v/>
      </c>
      <c r="AA117" s="21">
        <f t="shared" si="28"/>
        <v>8.8602224498264892</v>
      </c>
      <c r="AB117" s="21" t="str">
        <f t="shared" si="27"/>
        <v/>
      </c>
      <c r="AC117" s="21">
        <f t="shared" si="26"/>
        <v>8.7591305486619042</v>
      </c>
      <c r="AD117" s="21" t="str">
        <f t="shared" si="25"/>
        <v/>
      </c>
      <c r="AE117" s="21">
        <f t="shared" si="24"/>
        <v>8.6653010945439135</v>
      </c>
      <c r="AF117" s="21" t="str">
        <f t="shared" si="23"/>
        <v/>
      </c>
      <c r="AG117" s="21">
        <f t="shared" si="22"/>
        <v>8.5772669382222215</v>
      </c>
      <c r="AH117" s="21" t="str">
        <f t="shared" si="21"/>
        <v/>
      </c>
      <c r="AI117" s="21">
        <f t="shared" si="20"/>
        <v>8.4871881086575094</v>
      </c>
      <c r="AJ117" s="52" t="str">
        <f t="shared" si="13"/>
        <v/>
      </c>
      <c r="AL117" s="21" t="str">
        <f t="shared" si="14"/>
        <v/>
      </c>
      <c r="AM117" s="21" t="str">
        <f t="shared" si="15"/>
        <v/>
      </c>
      <c r="AN117" s="21" t="str">
        <f t="shared" si="16"/>
        <v/>
      </c>
      <c r="AO117" s="21" t="str">
        <f t="shared" si="17"/>
        <v/>
      </c>
      <c r="AP117" s="21" t="str">
        <f t="shared" si="18"/>
        <v/>
      </c>
      <c r="AQ117" s="21" t="str">
        <f t="shared" si="19"/>
        <v/>
      </c>
    </row>
    <row r="118" spans="6:43" x14ac:dyDescent="0.25">
      <c r="F118" s="49"/>
      <c r="N118" s="21">
        <f t="shared" si="41"/>
        <v>10.702440134377108</v>
      </c>
      <c r="O118" s="21" t="str">
        <f t="shared" si="40"/>
        <v/>
      </c>
      <c r="P118" s="21">
        <f t="shared" si="39"/>
        <v>10.599752735299068</v>
      </c>
      <c r="Q118" s="21" t="str">
        <f t="shared" si="38"/>
        <v/>
      </c>
      <c r="R118" s="21">
        <f t="shared" si="37"/>
        <v>10.498969027822191</v>
      </c>
      <c r="S118" s="21" t="str">
        <f t="shared" si="36"/>
        <v/>
      </c>
      <c r="T118" s="21">
        <f t="shared" si="35"/>
        <v>10.400525451063865</v>
      </c>
      <c r="U118" s="21" t="str">
        <f t="shared" si="34"/>
        <v/>
      </c>
      <c r="V118" s="21">
        <f t="shared" si="33"/>
        <v>10.30492617292148</v>
      </c>
      <c r="W118" s="21" t="str">
        <f t="shared" si="32"/>
        <v/>
      </c>
      <c r="X118" s="21">
        <f t="shared" si="31"/>
        <v>10.212726405559749</v>
      </c>
      <c r="Y118" s="21" t="str">
        <f t="shared" si="30"/>
        <v/>
      </c>
      <c r="Z118" s="21">
        <f t="shared" si="29"/>
        <v>10.124471014197328</v>
      </c>
      <c r="AA118" s="21" t="str">
        <f t="shared" si="28"/>
        <v/>
      </c>
      <c r="AB118" s="21">
        <f t="shared" si="27"/>
        <v>10.040525523663989</v>
      </c>
      <c r="AC118" s="21" t="str">
        <f t="shared" si="26"/>
        <v/>
      </c>
      <c r="AD118" s="21">
        <f t="shared" si="25"/>
        <v>9.9606614302371259</v>
      </c>
      <c r="AE118" s="21" t="str">
        <f t="shared" si="24"/>
        <v/>
      </c>
      <c r="AF118" s="21">
        <f t="shared" si="23"/>
        <v>9.8831783908601416</v>
      </c>
      <c r="AG118" s="21" t="str">
        <f t="shared" si="22"/>
        <v/>
      </c>
      <c r="AH118" s="21">
        <f t="shared" si="21"/>
        <v>9.804167381687753</v>
      </c>
      <c r="AI118" s="21" t="str">
        <f t="shared" si="20"/>
        <v/>
      </c>
      <c r="AJ118" s="52">
        <f t="shared" si="13"/>
        <v>9.7235686658835974</v>
      </c>
      <c r="AL118" s="21">
        <f t="shared" si="14"/>
        <v>-1.6356782312758433</v>
      </c>
      <c r="AM118" s="21">
        <f t="shared" si="15"/>
        <v>-1.7999949985273931</v>
      </c>
      <c r="AN118" s="21">
        <f t="shared" si="16"/>
        <v>-0.41443526977729095</v>
      </c>
      <c r="AO118" s="21">
        <f t="shared" si="17"/>
        <v>-0.57875203702884082</v>
      </c>
      <c r="AP118" s="21">
        <f t="shared" si="18"/>
        <v>0.2700171746952682</v>
      </c>
      <c r="AQ118" s="21">
        <f t="shared" si="19"/>
        <v>9.7235686658835974</v>
      </c>
    </row>
    <row r="119" spans="6:43" x14ac:dyDescent="0.25">
      <c r="F119" s="49"/>
      <c r="O119" s="21">
        <f t="shared" si="40"/>
        <v>11.841484671747926</v>
      </c>
      <c r="P119" s="21" t="str">
        <f t="shared" si="39"/>
        <v/>
      </c>
      <c r="Q119" s="21">
        <f t="shared" si="38"/>
        <v>11.759139491433427</v>
      </c>
      <c r="R119" s="21" t="str">
        <f t="shared" si="37"/>
        <v/>
      </c>
      <c r="S119" s="21">
        <f t="shared" si="36"/>
        <v>11.679002055927581</v>
      </c>
      <c r="T119" s="21" t="str">
        <f t="shared" si="35"/>
        <v/>
      </c>
      <c r="U119" s="21">
        <f t="shared" si="34"/>
        <v>11.60135174301181</v>
      </c>
      <c r="V119" s="21" t="str">
        <f t="shared" si="33"/>
        <v/>
      </c>
      <c r="W119" s="21">
        <f t="shared" si="32"/>
        <v>11.526436331807494</v>
      </c>
      <c r="X119" s="21" t="str">
        <f t="shared" si="31"/>
        <v/>
      </c>
      <c r="Y119" s="21">
        <f t="shared" si="30"/>
        <v>11.454402591832274</v>
      </c>
      <c r="Z119" s="21" t="str">
        <f t="shared" si="29"/>
        <v/>
      </c>
      <c r="AA119" s="21">
        <f t="shared" si="28"/>
        <v>11.385163866993746</v>
      </c>
      <c r="AB119" s="21" t="str">
        <f t="shared" si="27"/>
        <v/>
      </c>
      <c r="AC119" s="21">
        <f t="shared" si="26"/>
        <v>11.318169631844627</v>
      </c>
      <c r="AD119" s="21" t="str">
        <f t="shared" si="25"/>
        <v/>
      </c>
      <c r="AE119" s="21">
        <f t="shared" si="24"/>
        <v>11.252104317879438</v>
      </c>
      <c r="AF119" s="21" t="str">
        <f t="shared" si="23"/>
        <v/>
      </c>
      <c r="AG119" s="21">
        <f t="shared" si="22"/>
        <v>11.185035155087952</v>
      </c>
      <c r="AH119" s="21" t="str">
        <f t="shared" si="21"/>
        <v/>
      </c>
      <c r="AI119" s="21">
        <f t="shared" si="20"/>
        <v>11.116949510189247</v>
      </c>
      <c r="AJ119" s="52" t="str">
        <f t="shared" si="13"/>
        <v/>
      </c>
      <c r="AL119" s="21" t="str">
        <f t="shared" si="14"/>
        <v/>
      </c>
      <c r="AM119" s="21" t="str">
        <f t="shared" si="15"/>
        <v/>
      </c>
      <c r="AN119" s="21" t="str">
        <f t="shared" si="16"/>
        <v/>
      </c>
      <c r="AO119" s="21" t="str">
        <f t="shared" si="17"/>
        <v/>
      </c>
      <c r="AP119" s="21" t="str">
        <f t="shared" si="18"/>
        <v/>
      </c>
      <c r="AQ119" s="21" t="str">
        <f t="shared" si="19"/>
        <v/>
      </c>
    </row>
    <row r="120" spans="6:43" x14ac:dyDescent="0.25">
      <c r="F120" s="49"/>
      <c r="P120" s="21">
        <f t="shared" si="39"/>
        <v>13.080984181636746</v>
      </c>
      <c r="Q120" s="21" t="str">
        <f t="shared" si="38"/>
        <v/>
      </c>
      <c r="R120" s="21">
        <f t="shared" si="37"/>
        <v>13.016872930328841</v>
      </c>
      <c r="S120" s="21" t="str">
        <f t="shared" si="36"/>
        <v/>
      </c>
      <c r="T120" s="21">
        <f t="shared" si="35"/>
        <v>12.954839580381188</v>
      </c>
      <c r="U120" s="21" t="str">
        <f t="shared" si="34"/>
        <v/>
      </c>
      <c r="V120" s="21">
        <f t="shared" si="33"/>
        <v>12.894940732652842</v>
      </c>
      <c r="W120" s="21" t="str">
        <f t="shared" si="32"/>
        <v/>
      </c>
      <c r="X120" s="21">
        <f t="shared" si="31"/>
        <v>12.837119397364555</v>
      </c>
      <c r="Y120" s="21" t="str">
        <f t="shared" si="30"/>
        <v/>
      </c>
      <c r="Z120" s="21">
        <f t="shared" si="29"/>
        <v>12.781127582536046</v>
      </c>
      <c r="AA120" s="21" t="str">
        <f t="shared" si="28"/>
        <v/>
      </c>
      <c r="AB120" s="21">
        <f t="shared" si="27"/>
        <v>12.726430070088316</v>
      </c>
      <c r="AC120" s="21" t="str">
        <f t="shared" si="26"/>
        <v/>
      </c>
      <c r="AD120" s="21">
        <f t="shared" si="25"/>
        <v>12.672156565478309</v>
      </c>
      <c r="AE120" s="21" t="str">
        <f t="shared" si="24"/>
        <v/>
      </c>
      <c r="AF120" s="21">
        <f t="shared" si="23"/>
        <v>12.617372272695867</v>
      </c>
      <c r="AG120" s="21" t="str">
        <f t="shared" si="22"/>
        <v/>
      </c>
      <c r="AH120" s="21">
        <f t="shared" si="21"/>
        <v>12.562103324039782</v>
      </c>
      <c r="AI120" s="21" t="str">
        <f t="shared" si="20"/>
        <v/>
      </c>
      <c r="AJ120" s="52">
        <f t="shared" si="13"/>
        <v>12.506383798417239</v>
      </c>
      <c r="AL120" s="21">
        <f t="shared" si="14"/>
        <v>-1.9338206282758161</v>
      </c>
      <c r="AM120" s="21">
        <f t="shared" si="15"/>
        <v>-2.0981373955273659</v>
      </c>
      <c r="AN120" s="21">
        <f t="shared" si="16"/>
        <v>-0.71257766677726297</v>
      </c>
      <c r="AO120" s="21">
        <f t="shared" si="17"/>
        <v>-0.87689443402881273</v>
      </c>
      <c r="AP120" s="21">
        <f t="shared" si="18"/>
        <v>0.12239883252495209</v>
      </c>
      <c r="AQ120" s="21">
        <f t="shared" si="19"/>
        <v>12.506383798417239</v>
      </c>
    </row>
    <row r="121" spans="6:43" x14ac:dyDescent="0.25">
      <c r="F121" s="49"/>
      <c r="Q121" s="21">
        <f t="shared" si="38"/>
        <v>14.400768195184519</v>
      </c>
      <c r="R121" s="21" t="str">
        <f t="shared" si="37"/>
        <v/>
      </c>
      <c r="S121" s="21">
        <f t="shared" si="36"/>
        <v>14.352510252154948</v>
      </c>
      <c r="T121" s="21" t="str">
        <f t="shared" si="35"/>
        <v/>
      </c>
      <c r="U121" s="21">
        <f t="shared" si="34"/>
        <v>14.305925696316836</v>
      </c>
      <c r="V121" s="21" t="str">
        <f t="shared" si="33"/>
        <v/>
      </c>
      <c r="W121" s="21">
        <f t="shared" si="32"/>
        <v>14.260881542238712</v>
      </c>
      <c r="X121" s="21" t="str">
        <f t="shared" si="31"/>
        <v/>
      </c>
      <c r="Y121" s="21">
        <f t="shared" si="30"/>
        <v>14.217118659675215</v>
      </c>
      <c r="Z121" s="21" t="str">
        <f t="shared" si="29"/>
        <v/>
      </c>
      <c r="AA121" s="21">
        <f t="shared" si="28"/>
        <v>14.174228867824866</v>
      </c>
      <c r="AB121" s="21" t="str">
        <f t="shared" si="27"/>
        <v/>
      </c>
      <c r="AC121" s="21">
        <f t="shared" si="26"/>
        <v>14.131691776098847</v>
      </c>
      <c r="AD121" s="21" t="str">
        <f t="shared" si="25"/>
        <v/>
      </c>
      <c r="AE121" s="21">
        <f t="shared" si="24"/>
        <v>14.089078165658844</v>
      </c>
      <c r="AF121" s="21" t="str">
        <f t="shared" si="23"/>
        <v/>
      </c>
      <c r="AG121" s="21">
        <f t="shared" si="22"/>
        <v>14.046442479646741</v>
      </c>
      <c r="AH121" s="21" t="str">
        <f t="shared" si="21"/>
        <v/>
      </c>
      <c r="AI121" s="21">
        <f t="shared" si="20"/>
        <v>14.00384931810903</v>
      </c>
      <c r="AJ121" s="52" t="str">
        <f t="shared" si="13"/>
        <v/>
      </c>
      <c r="AL121" s="21" t="str">
        <f t="shared" si="14"/>
        <v/>
      </c>
      <c r="AM121" s="21" t="str">
        <f t="shared" si="15"/>
        <v/>
      </c>
      <c r="AN121" s="21" t="str">
        <f t="shared" si="16"/>
        <v/>
      </c>
      <c r="AO121" s="21" t="str">
        <f t="shared" si="17"/>
        <v/>
      </c>
      <c r="AP121" s="21" t="str">
        <f t="shared" si="18"/>
        <v/>
      </c>
      <c r="AQ121" s="21" t="str">
        <f t="shared" si="19"/>
        <v/>
      </c>
    </row>
    <row r="122" spans="6:43" x14ac:dyDescent="0.25">
      <c r="F122" s="49"/>
      <c r="R122" s="21">
        <f t="shared" si="37"/>
        <v>15.782974703099317</v>
      </c>
      <c r="S122" s="21" t="str">
        <f t="shared" si="36"/>
        <v/>
      </c>
      <c r="T122" s="21">
        <f t="shared" si="35"/>
        <v>15.748348118793977</v>
      </c>
      <c r="U122" s="21" t="str">
        <f t="shared" si="34"/>
        <v/>
      </c>
      <c r="V122" s="21">
        <f t="shared" si="33"/>
        <v>15.714938667013984</v>
      </c>
      <c r="W122" s="21" t="str">
        <f t="shared" si="32"/>
        <v/>
      </c>
      <c r="X122" s="21">
        <f t="shared" si="31"/>
        <v>15.682537896251088</v>
      </c>
      <c r="Y122" s="21" t="str">
        <f t="shared" si="30"/>
        <v/>
      </c>
      <c r="Z122" s="21">
        <f t="shared" si="29"/>
        <v>15.650875456475219</v>
      </c>
      <c r="AA122" s="21" t="str">
        <f t="shared" si="28"/>
        <v/>
      </c>
      <c r="AB122" s="21">
        <f t="shared" si="27"/>
        <v>15.619668900219606</v>
      </c>
      <c r="AC122" s="21" t="str">
        <f t="shared" si="26"/>
        <v/>
      </c>
      <c r="AD122" s="21">
        <f t="shared" si="25"/>
        <v>15.588744550362659</v>
      </c>
      <c r="AE122" s="21" t="str">
        <f t="shared" si="24"/>
        <v/>
      </c>
      <c r="AF122" s="21">
        <f t="shared" si="23"/>
        <v>15.558174369585673</v>
      </c>
      <c r="AG122" s="21" t="str">
        <f t="shared" si="22"/>
        <v/>
      </c>
      <c r="AH122" s="21">
        <f t="shared" si="21"/>
        <v>15.528040917844709</v>
      </c>
      <c r="AI122" s="21" t="str">
        <f t="shared" si="20"/>
        <v/>
      </c>
      <c r="AJ122" s="52">
        <f t="shared" si="13"/>
        <v>15.498439111070596</v>
      </c>
      <c r="AL122" s="21">
        <f t="shared" si="14"/>
        <v>-2.2319630252757889</v>
      </c>
      <c r="AM122" s="21">
        <f t="shared" si="15"/>
        <v>-2.3962797925273387</v>
      </c>
      <c r="AN122" s="21">
        <f t="shared" si="16"/>
        <v>-1.0107200637772356</v>
      </c>
      <c r="AO122" s="21">
        <f t="shared" si="17"/>
        <v>-1.1750368310287853</v>
      </c>
      <c r="AP122" s="21">
        <f t="shared" si="18"/>
        <v>5.1577916473633301E-2</v>
      </c>
      <c r="AQ122" s="21">
        <f t="shared" si="19"/>
        <v>15.498439111070596</v>
      </c>
    </row>
    <row r="123" spans="6:43" x14ac:dyDescent="0.25">
      <c r="F123" s="49"/>
      <c r="S123" s="21">
        <f t="shared" si="36"/>
        <v>17.212289641799167</v>
      </c>
      <c r="T123" s="21" t="str">
        <f t="shared" si="35"/>
        <v/>
      </c>
      <c r="U123" s="21">
        <f t="shared" si="34"/>
        <v>17.189500809725448</v>
      </c>
      <c r="V123" s="21" t="str">
        <f t="shared" si="33"/>
        <v/>
      </c>
      <c r="W123" s="21">
        <f t="shared" si="32"/>
        <v>17.167609277557879</v>
      </c>
      <c r="X123" s="21" t="str">
        <f t="shared" si="31"/>
        <v/>
      </c>
      <c r="Y123" s="21">
        <f t="shared" si="30"/>
        <v>17.146456722053358</v>
      </c>
      <c r="Z123" s="21" t="str">
        <f t="shared" si="29"/>
        <v/>
      </c>
      <c r="AA123" s="21">
        <f t="shared" si="28"/>
        <v>17.125909323782228</v>
      </c>
      <c r="AB123" s="21" t="str">
        <f t="shared" si="27"/>
        <v/>
      </c>
      <c r="AC123" s="21">
        <f t="shared" si="26"/>
        <v>17.105920456226457</v>
      </c>
      <c r="AD123" s="21" t="str">
        <f t="shared" si="25"/>
        <v/>
      </c>
      <c r="AE123" s="21">
        <f t="shared" si="24"/>
        <v>17.086569790952385</v>
      </c>
      <c r="AF123" s="21" t="str">
        <f t="shared" si="23"/>
        <v/>
      </c>
      <c r="AG123" s="21">
        <f t="shared" si="22"/>
        <v>17.06794671552522</v>
      </c>
      <c r="AH123" s="21" t="str">
        <f t="shared" si="21"/>
        <v/>
      </c>
      <c r="AI123" s="21">
        <f t="shared" si="20"/>
        <v>17.050151658611959</v>
      </c>
      <c r="AJ123" s="52" t="str">
        <f t="shared" si="13"/>
        <v/>
      </c>
      <c r="AL123" s="21" t="str">
        <f t="shared" si="14"/>
        <v/>
      </c>
      <c r="AM123" s="21" t="str">
        <f t="shared" si="15"/>
        <v/>
      </c>
      <c r="AN123" s="21" t="str">
        <f t="shared" si="16"/>
        <v/>
      </c>
      <c r="AO123" s="21" t="str">
        <f t="shared" si="17"/>
        <v/>
      </c>
      <c r="AP123" s="21" t="str">
        <f t="shared" si="18"/>
        <v/>
      </c>
      <c r="AQ123" s="21" t="str">
        <f t="shared" si="19"/>
        <v/>
      </c>
    </row>
    <row r="124" spans="6:43" x14ac:dyDescent="0.25">
      <c r="F124" s="49"/>
      <c r="T124" s="21">
        <f t="shared" si="35"/>
        <v>18.67575862654753</v>
      </c>
      <c r="U124" s="21" t="str">
        <f t="shared" si="34"/>
        <v/>
      </c>
      <c r="V124" s="21">
        <f t="shared" si="33"/>
        <v>18.663488929351555</v>
      </c>
      <c r="W124" s="21" t="str">
        <f t="shared" si="32"/>
        <v/>
      </c>
      <c r="X124" s="21">
        <f t="shared" si="31"/>
        <v>18.652006652408229</v>
      </c>
      <c r="Y124" s="21" t="str">
        <f t="shared" si="30"/>
        <v/>
      </c>
      <c r="Z124" s="21">
        <f t="shared" si="29"/>
        <v>18.641264483284399</v>
      </c>
      <c r="AA124" s="21" t="str">
        <f t="shared" si="28"/>
        <v/>
      </c>
      <c r="AB124" s="21">
        <f t="shared" si="27"/>
        <v>18.631275933294269</v>
      </c>
      <c r="AC124" s="21" t="str">
        <f t="shared" si="26"/>
        <v/>
      </c>
      <c r="AD124" s="21">
        <f t="shared" si="25"/>
        <v>18.622120362568531</v>
      </c>
      <c r="AE124" s="21" t="str">
        <f t="shared" si="24"/>
        <v/>
      </c>
      <c r="AF124" s="21">
        <f t="shared" si="23"/>
        <v>18.613885141788344</v>
      </c>
      <c r="AG124" s="21" t="str">
        <f t="shared" si="22"/>
        <v/>
      </c>
      <c r="AH124" s="21">
        <f t="shared" si="21"/>
        <v>18.606666489975165</v>
      </c>
      <c r="AI124" s="21" t="str">
        <f t="shared" si="20"/>
        <v/>
      </c>
      <c r="AJ124" s="52">
        <f t="shared" si="13"/>
        <v>18.600570370401954</v>
      </c>
      <c r="AL124" s="21">
        <f t="shared" si="14"/>
        <v>-2.5301054222757622</v>
      </c>
      <c r="AM124" s="21">
        <f t="shared" si="15"/>
        <v>-2.6944221895273119</v>
      </c>
      <c r="AN124" s="21">
        <f t="shared" si="16"/>
        <v>-1.3088624607772095</v>
      </c>
      <c r="AO124" s="21">
        <f t="shared" si="17"/>
        <v>-1.4731792280287592</v>
      </c>
      <c r="AP124" s="21">
        <f t="shared" si="18"/>
        <v>2.0166881019831995E-2</v>
      </c>
      <c r="AQ124" s="21">
        <f t="shared" si="19"/>
        <v>18.600570370401954</v>
      </c>
    </row>
    <row r="125" spans="6:43" x14ac:dyDescent="0.25">
      <c r="F125" s="49"/>
      <c r="U125" s="21">
        <f t="shared" si="34"/>
        <v>20.162334302982039</v>
      </c>
      <c r="V125" s="21" t="str">
        <f t="shared" si="33"/>
        <v/>
      </c>
      <c r="W125" s="21">
        <f t="shared" si="32"/>
        <v>20.159600062013514</v>
      </c>
      <c r="X125" s="21" t="str">
        <f t="shared" si="31"/>
        <v/>
      </c>
      <c r="Y125" s="21">
        <f t="shared" si="30"/>
        <v>20.157701813913988</v>
      </c>
      <c r="Z125" s="21" t="str">
        <f t="shared" si="29"/>
        <v/>
      </c>
      <c r="AA125" s="21">
        <f t="shared" si="28"/>
        <v>20.156678018478441</v>
      </c>
      <c r="AB125" s="21" t="str">
        <f t="shared" si="27"/>
        <v/>
      </c>
      <c r="AC125" s="21">
        <f t="shared" si="26"/>
        <v>20.156601844871883</v>
      </c>
      <c r="AD125" s="21" t="str">
        <f t="shared" si="25"/>
        <v/>
      </c>
      <c r="AE125" s="21">
        <f t="shared" si="24"/>
        <v>20.157552397021956</v>
      </c>
      <c r="AF125" s="21" t="str">
        <f t="shared" si="23"/>
        <v/>
      </c>
      <c r="AG125" s="21">
        <f t="shared" si="22"/>
        <v>20.159615103144155</v>
      </c>
      <c r="AH125" s="21" t="str">
        <f t="shared" si="21"/>
        <v/>
      </c>
      <c r="AI125" s="21">
        <f t="shared" si="20"/>
        <v>20.162882070737027</v>
      </c>
      <c r="AJ125" s="52" t="str">
        <f t="shared" si="13"/>
        <v/>
      </c>
      <c r="AL125" s="21" t="str">
        <f t="shared" si="14"/>
        <v/>
      </c>
      <c r="AM125" s="21" t="str">
        <f t="shared" si="15"/>
        <v/>
      </c>
      <c r="AN125" s="21" t="str">
        <f t="shared" si="16"/>
        <v/>
      </c>
      <c r="AO125" s="21" t="str">
        <f t="shared" si="17"/>
        <v/>
      </c>
      <c r="AP125" s="21" t="str">
        <f t="shared" si="18"/>
        <v/>
      </c>
      <c r="AQ125" s="21" t="str">
        <f t="shared" si="19"/>
        <v/>
      </c>
    </row>
    <row r="126" spans="6:43" x14ac:dyDescent="0.25">
      <c r="F126" s="49"/>
      <c r="V126" s="21">
        <f t="shared" si="33"/>
        <v>21.662382378503111</v>
      </c>
      <c r="W126" s="21" t="str">
        <f t="shared" si="32"/>
        <v/>
      </c>
      <c r="X126" s="21">
        <f t="shared" si="31"/>
        <v>21.668323231417776</v>
      </c>
      <c r="Y126" s="21" t="str">
        <f t="shared" si="30"/>
        <v/>
      </c>
      <c r="Z126" s="21">
        <f t="shared" si="29"/>
        <v>21.675195737807847</v>
      </c>
      <c r="AA126" s="21" t="str">
        <f t="shared" si="28"/>
        <v/>
      </c>
      <c r="AB126" s="21">
        <f t="shared" si="27"/>
        <v>21.683063128644022</v>
      </c>
      <c r="AC126" s="21" t="str">
        <f t="shared" si="26"/>
        <v/>
      </c>
      <c r="AD126" s="21">
        <f t="shared" si="25"/>
        <v>21.691992481050832</v>
      </c>
      <c r="AE126" s="21" t="str">
        <f t="shared" si="24"/>
        <v/>
      </c>
      <c r="AF126" s="21">
        <f t="shared" si="23"/>
        <v>21.702054751946019</v>
      </c>
      <c r="AG126" s="21" t="str">
        <f t="shared" si="22"/>
        <v/>
      </c>
      <c r="AH126" s="21">
        <f t="shared" si="21"/>
        <v>21.713324723204405</v>
      </c>
      <c r="AI126" s="21" t="str">
        <f t="shared" si="20"/>
        <v/>
      </c>
      <c r="AJ126" s="52">
        <f t="shared" si="13"/>
        <v>21.725880820370797</v>
      </c>
      <c r="AL126" s="21">
        <f t="shared" si="14"/>
        <v>-2.828247819275735</v>
      </c>
      <c r="AM126" s="21">
        <f t="shared" si="15"/>
        <v>-2.9925645865272847</v>
      </c>
      <c r="AN126" s="21">
        <f t="shared" si="16"/>
        <v>-1.6070048577771823</v>
      </c>
      <c r="AO126" s="21">
        <f t="shared" si="17"/>
        <v>-1.771321625028732</v>
      </c>
      <c r="AP126" s="21">
        <f t="shared" si="18"/>
        <v>7.3047157662660123E-3</v>
      </c>
      <c r="AQ126" s="21">
        <f t="shared" si="19"/>
        <v>21.725880820370797</v>
      </c>
    </row>
    <row r="127" spans="6:43" x14ac:dyDescent="0.25">
      <c r="F127" s="49"/>
      <c r="W127" s="21">
        <f t="shared" si="32"/>
        <v>23.167331520016219</v>
      </c>
      <c r="X127" s="21" t="str">
        <f t="shared" si="31"/>
        <v/>
      </c>
      <c r="Y127" s="21">
        <f t="shared" si="30"/>
        <v>23.18105168284243</v>
      </c>
      <c r="Z127" s="21" t="str">
        <f t="shared" si="29"/>
        <v/>
      </c>
      <c r="AA127" s="21">
        <f t="shared" si="28"/>
        <v>23.195760853561701</v>
      </c>
      <c r="AB127" s="21" t="str">
        <f t="shared" si="27"/>
        <v/>
      </c>
      <c r="AC127" s="21">
        <f t="shared" si="26"/>
        <v>23.211512447743058</v>
      </c>
      <c r="AD127" s="21" t="str">
        <f t="shared" si="25"/>
        <v/>
      </c>
      <c r="AE127" s="21">
        <f t="shared" si="24"/>
        <v>23.228361658036182</v>
      </c>
      <c r="AF127" s="21" t="str">
        <f t="shared" si="23"/>
        <v/>
      </c>
      <c r="AG127" s="21">
        <f t="shared" si="22"/>
        <v>23.246365134840897</v>
      </c>
      <c r="AH127" s="21" t="str">
        <f t="shared" si="21"/>
        <v/>
      </c>
      <c r="AI127" s="21">
        <f t="shared" si="20"/>
        <v>23.26558052493537</v>
      </c>
      <c r="AJ127" s="52" t="str">
        <f t="shared" si="13"/>
        <v/>
      </c>
      <c r="AL127" s="21" t="str">
        <f t="shared" si="14"/>
        <v/>
      </c>
      <c r="AM127" s="21" t="str">
        <f t="shared" si="15"/>
        <v/>
      </c>
      <c r="AN127" s="21" t="str">
        <f t="shared" si="16"/>
        <v/>
      </c>
      <c r="AO127" s="21" t="str">
        <f t="shared" si="17"/>
        <v/>
      </c>
      <c r="AP127" s="21" t="str">
        <f t="shared" si="18"/>
        <v/>
      </c>
      <c r="AQ127" s="21" t="str">
        <f t="shared" si="19"/>
        <v/>
      </c>
    </row>
    <row r="128" spans="6:43" x14ac:dyDescent="0.25">
      <c r="F128" s="49"/>
      <c r="X128" s="21">
        <f t="shared" si="31"/>
        <v>24.669536705866047</v>
      </c>
      <c r="Y128" s="21" t="str">
        <f t="shared" si="30"/>
        <v/>
      </c>
      <c r="Z128" s="21">
        <f t="shared" si="29"/>
        <v>24.690057961002847</v>
      </c>
      <c r="AA128" s="21" t="str">
        <f t="shared" si="28"/>
        <v/>
      </c>
      <c r="AB128" s="21">
        <f t="shared" si="27"/>
        <v>24.711563052026936</v>
      </c>
      <c r="AC128" s="21" t="str">
        <f t="shared" si="26"/>
        <v/>
      </c>
      <c r="AD128" s="21">
        <f t="shared" si="25"/>
        <v>24.734091879499385</v>
      </c>
      <c r="AE128" s="21" t="str">
        <f t="shared" si="24"/>
        <v/>
      </c>
      <c r="AF128" s="21">
        <f t="shared" si="23"/>
        <v>24.757684036625651</v>
      </c>
      <c r="AG128" s="21" t="str">
        <f t="shared" si="22"/>
        <v/>
      </c>
      <c r="AH128" s="21">
        <f t="shared" si="21"/>
        <v>24.782378227369151</v>
      </c>
      <c r="AI128" s="21" t="str">
        <f t="shared" si="20"/>
        <v/>
      </c>
      <c r="AJ128" s="52">
        <f t="shared" si="13"/>
        <v>24.808211526965607</v>
      </c>
      <c r="AL128" s="21">
        <f t="shared" si="14"/>
        <v>-3.1263902162757069</v>
      </c>
      <c r="AM128" s="21">
        <f t="shared" si="15"/>
        <v>-3.2907069835272567</v>
      </c>
      <c r="AN128" s="21">
        <f t="shared" si="16"/>
        <v>-1.9051472547771546</v>
      </c>
      <c r="AO128" s="21">
        <f t="shared" si="17"/>
        <v>-2.0694640220287046</v>
      </c>
      <c r="AP128" s="21">
        <f t="shared" si="18"/>
        <v>2.4476878681470166E-3</v>
      </c>
      <c r="AQ128" s="21">
        <f t="shared" si="19"/>
        <v>24.808211526965607</v>
      </c>
    </row>
    <row r="129" spans="6:43" x14ac:dyDescent="0.25">
      <c r="F129" s="49"/>
      <c r="Y129" s="21">
        <f t="shared" si="30"/>
        <v>26.162301751234232</v>
      </c>
      <c r="Z129" s="21" t="str">
        <f t="shared" si="29"/>
        <v/>
      </c>
      <c r="AA129" s="21">
        <f t="shared" si="28"/>
        <v>26.188601462818418</v>
      </c>
      <c r="AB129" s="21" t="str">
        <f t="shared" si="27"/>
        <v/>
      </c>
      <c r="AC129" s="21">
        <f t="shared" si="26"/>
        <v>26.215827552397592</v>
      </c>
      <c r="AD129" s="21" t="str">
        <f t="shared" si="25"/>
        <v/>
      </c>
      <c r="AE129" s="21">
        <f t="shared" si="24"/>
        <v>26.244004779274004</v>
      </c>
      <c r="AF129" s="21" t="str">
        <f t="shared" si="23"/>
        <v/>
      </c>
      <c r="AG129" s="21">
        <f t="shared" si="22"/>
        <v>26.27315584443572</v>
      </c>
      <c r="AH129" s="21" t="str">
        <f t="shared" si="21"/>
        <v/>
      </c>
      <c r="AI129" s="21">
        <f t="shared" si="20"/>
        <v>26.303300688748998</v>
      </c>
      <c r="AJ129" s="52" t="str">
        <f t="shared" si="13"/>
        <v/>
      </c>
      <c r="AL129" s="21" t="str">
        <f t="shared" si="14"/>
        <v/>
      </c>
      <c r="AM129" s="21" t="str">
        <f t="shared" si="15"/>
        <v/>
      </c>
      <c r="AN129" s="21" t="str">
        <f t="shared" si="16"/>
        <v/>
      </c>
      <c r="AO129" s="21" t="str">
        <f t="shared" si="17"/>
        <v/>
      </c>
      <c r="AP129" s="21" t="str">
        <f t="shared" si="18"/>
        <v/>
      </c>
      <c r="AQ129" s="21" t="str">
        <f t="shared" si="19"/>
        <v/>
      </c>
    </row>
    <row r="130" spans="6:43" x14ac:dyDescent="0.25">
      <c r="F130" s="49"/>
      <c r="Z130" s="21">
        <f t="shared" si="29"/>
        <v>27.639948910252855</v>
      </c>
      <c r="AA130" s="21" t="str">
        <f t="shared" si="28"/>
        <v/>
      </c>
      <c r="AB130" s="21">
        <f t="shared" si="27"/>
        <v>27.671021724254175</v>
      </c>
      <c r="AC130" s="21" t="str">
        <f t="shared" si="26"/>
        <v/>
      </c>
      <c r="AD130" s="21">
        <f t="shared" si="25"/>
        <v>27.702924964552366</v>
      </c>
      <c r="AE130" s="21" t="str">
        <f t="shared" si="24"/>
        <v/>
      </c>
      <c r="AF130" s="21">
        <f t="shared" si="23"/>
        <v>27.735668693596207</v>
      </c>
      <c r="AG130" s="21" t="str">
        <f t="shared" si="22"/>
        <v/>
      </c>
      <c r="AH130" s="21">
        <f t="shared" si="21"/>
        <v>27.769259754586397</v>
      </c>
      <c r="AI130" s="21" t="str">
        <f t="shared" si="20"/>
        <v/>
      </c>
      <c r="AJ130" s="52">
        <f t="shared" si="13"/>
        <v>27.803701106573719</v>
      </c>
      <c r="AL130" s="21">
        <f t="shared" si="14"/>
        <v>-3.4245326132756806</v>
      </c>
      <c r="AM130" s="21">
        <f t="shared" si="15"/>
        <v>-3.5888493805272303</v>
      </c>
      <c r="AN130" s="21">
        <f t="shared" si="16"/>
        <v>-2.2032896517771268</v>
      </c>
      <c r="AO130" s="21">
        <f t="shared" si="17"/>
        <v>-2.3676064190286765</v>
      </c>
      <c r="AP130" s="21">
        <f t="shared" si="18"/>
        <v>7.5784134570646561E-4</v>
      </c>
      <c r="AQ130" s="21">
        <f t="shared" si="19"/>
        <v>27.803701106573719</v>
      </c>
    </row>
    <row r="131" spans="6:43" x14ac:dyDescent="0.25">
      <c r="F131" s="49"/>
      <c r="AA131" s="21">
        <f t="shared" si="28"/>
        <v>29.097850882245048</v>
      </c>
      <c r="AB131" s="21" t="str">
        <f t="shared" si="27"/>
        <v/>
      </c>
      <c r="AC131" s="21">
        <f t="shared" si="26"/>
        <v>29.132759779106078</v>
      </c>
      <c r="AD131" s="21" t="str">
        <f t="shared" si="25"/>
        <v/>
      </c>
      <c r="AE131" s="21">
        <f t="shared" si="24"/>
        <v>29.168379924169631</v>
      </c>
      <c r="AF131" s="21" t="str">
        <f t="shared" si="23"/>
        <v/>
      </c>
      <c r="AG131" s="21">
        <f t="shared" si="22"/>
        <v>29.204708850785686</v>
      </c>
      <c r="AH131" s="21" t="str">
        <f t="shared" si="21"/>
        <v/>
      </c>
      <c r="AI131" s="21">
        <f t="shared" si="20"/>
        <v>29.241740415524994</v>
      </c>
      <c r="AJ131" s="52" t="str">
        <f t="shared" si="13"/>
        <v/>
      </c>
      <c r="AL131" s="21" t="str">
        <f t="shared" si="14"/>
        <v/>
      </c>
      <c r="AM131" s="21" t="str">
        <f t="shared" si="15"/>
        <v/>
      </c>
      <c r="AN131" s="21" t="str">
        <f t="shared" si="16"/>
        <v/>
      </c>
      <c r="AO131" s="21" t="str">
        <f t="shared" si="17"/>
        <v/>
      </c>
      <c r="AP131" s="21" t="str">
        <f t="shared" si="18"/>
        <v/>
      </c>
      <c r="AQ131" s="21" t="str">
        <f t="shared" si="19"/>
        <v/>
      </c>
    </row>
    <row r="132" spans="6:43" x14ac:dyDescent="0.25">
      <c r="F132" s="49"/>
      <c r="AB132" s="21">
        <f t="shared" si="27"/>
        <v>30.53240205686399</v>
      </c>
      <c r="AC132" s="21" t="str">
        <f t="shared" si="26"/>
        <v/>
      </c>
      <c r="AD132" s="21">
        <f t="shared" si="25"/>
        <v>30.570315354489022</v>
      </c>
      <c r="AE132" s="21" t="str">
        <f t="shared" si="24"/>
        <v/>
      </c>
      <c r="AF132" s="21">
        <f t="shared" si="23"/>
        <v>30.608812182887135</v>
      </c>
      <c r="AG132" s="21" t="str">
        <f t="shared" si="22"/>
        <v/>
      </c>
      <c r="AH132" s="21">
        <f t="shared" si="21"/>
        <v>30.647880839613805</v>
      </c>
      <c r="AI132" s="21" t="str">
        <f t="shared" si="20"/>
        <v/>
      </c>
      <c r="AJ132" s="52">
        <f t="shared" si="13"/>
        <v>30.687506148688286</v>
      </c>
      <c r="AL132" s="21">
        <f t="shared" si="14"/>
        <v>-3.7226750102756534</v>
      </c>
      <c r="AM132" s="21">
        <f t="shared" si="15"/>
        <v>-3.8869917775272032</v>
      </c>
      <c r="AN132" s="21">
        <f t="shared" si="16"/>
        <v>-2.5014320487771005</v>
      </c>
      <c r="AO132" s="21">
        <f t="shared" si="17"/>
        <v>-2.6657488160286502</v>
      </c>
      <c r="AP132" s="21">
        <f t="shared" si="18"/>
        <v>2.1658182957377033E-4</v>
      </c>
      <c r="AQ132" s="21">
        <f t="shared" si="19"/>
        <v>30.687506148688286</v>
      </c>
    </row>
    <row r="133" spans="6:43" x14ac:dyDescent="0.25">
      <c r="F133" s="49"/>
      <c r="AC133" s="21">
        <f t="shared" si="26"/>
        <v>31.940940033942141</v>
      </c>
      <c r="AD133" s="21" t="str">
        <f t="shared" si="25"/>
        <v/>
      </c>
      <c r="AE133" s="21">
        <f t="shared" si="24"/>
        <v>31.981153016505381</v>
      </c>
      <c r="AF133" s="21" t="str">
        <f t="shared" si="23"/>
        <v/>
      </c>
      <c r="AG133" s="21">
        <f t="shared" si="22"/>
        <v>32.021825684924025</v>
      </c>
      <c r="AH133" s="21" t="str">
        <f t="shared" si="21"/>
        <v/>
      </c>
      <c r="AI133" s="21">
        <f t="shared" si="20"/>
        <v>32.062940815164936</v>
      </c>
      <c r="AJ133" s="52" t="str">
        <f t="shared" si="13"/>
        <v/>
      </c>
      <c r="AL133" s="21" t="str">
        <f t="shared" si="14"/>
        <v/>
      </c>
      <c r="AM133" s="21" t="str">
        <f t="shared" si="15"/>
        <v/>
      </c>
      <c r="AN133" s="21" t="str">
        <f t="shared" si="16"/>
        <v/>
      </c>
      <c r="AO133" s="21" t="str">
        <f t="shared" si="17"/>
        <v/>
      </c>
      <c r="AP133" s="21" t="str">
        <f t="shared" si="18"/>
        <v/>
      </c>
      <c r="AQ133" s="21" t="str">
        <f t="shared" si="19"/>
        <v/>
      </c>
    </row>
    <row r="134" spans="6:43" x14ac:dyDescent="0.25">
      <c r="F134" s="49"/>
      <c r="AD134" s="21">
        <f t="shared" si="25"/>
        <v>33.321631705648315</v>
      </c>
      <c r="AE134" s="21" t="str">
        <f t="shared" si="24"/>
        <v/>
      </c>
      <c r="AF134" s="21">
        <f t="shared" si="23"/>
        <v>33.363573593214802</v>
      </c>
      <c r="AG134" s="21" t="str">
        <f t="shared" si="22"/>
        <v/>
      </c>
      <c r="AH134" s="21">
        <f t="shared" si="21"/>
        <v>33.405864241206167</v>
      </c>
      <c r="AI134" s="21" t="str">
        <f t="shared" si="20"/>
        <v/>
      </c>
      <c r="AJ134" s="52">
        <f t="shared" si="13"/>
        <v>33.44848438275077</v>
      </c>
      <c r="AL134" s="21">
        <f t="shared" si="14"/>
        <v>-4.0208174072756258</v>
      </c>
      <c r="AM134" s="21">
        <f t="shared" si="15"/>
        <v>-4.1851341745271755</v>
      </c>
      <c r="AN134" s="21">
        <f t="shared" si="16"/>
        <v>-2.7995744457770728</v>
      </c>
      <c r="AO134" s="21">
        <f t="shared" si="17"/>
        <v>-2.9638912130286226</v>
      </c>
      <c r="AP134" s="21">
        <f t="shared" si="18"/>
        <v>5.7081971387397444E-5</v>
      </c>
      <c r="AQ134" s="21">
        <f t="shared" si="19"/>
        <v>33.44848438275077</v>
      </c>
    </row>
    <row r="135" spans="6:43" x14ac:dyDescent="0.25">
      <c r="F135" s="49"/>
      <c r="AE135" s="21">
        <f t="shared" si="24"/>
        <v>34.673339362611593</v>
      </c>
      <c r="AF135" s="21" t="str">
        <f t="shared" si="23"/>
        <v/>
      </c>
      <c r="AG135" s="21">
        <f t="shared" si="22"/>
        <v>34.716568002102022</v>
      </c>
      <c r="AH135" s="21" t="str">
        <f t="shared" si="21"/>
        <v/>
      </c>
      <c r="AI135" s="21">
        <f t="shared" si="20"/>
        <v>34.76005269406447</v>
      </c>
      <c r="AJ135" s="52" t="str">
        <f t="shared" si="13"/>
        <v/>
      </c>
      <c r="AL135" s="21" t="str">
        <f t="shared" si="14"/>
        <v/>
      </c>
      <c r="AM135" s="21" t="str">
        <f t="shared" si="15"/>
        <v/>
      </c>
      <c r="AN135" s="21" t="str">
        <f t="shared" si="16"/>
        <v/>
      </c>
      <c r="AO135" s="21" t="str">
        <f t="shared" si="17"/>
        <v/>
      </c>
      <c r="AP135" s="21" t="str">
        <f t="shared" si="18"/>
        <v/>
      </c>
      <c r="AQ135" s="21" t="str">
        <f t="shared" si="19"/>
        <v/>
      </c>
    </row>
    <row r="136" spans="6:43" x14ac:dyDescent="0.25">
      <c r="F136" s="49"/>
      <c r="AF136" s="21">
        <f t="shared" si="23"/>
        <v>35.995481437513803</v>
      </c>
      <c r="AG136" s="21" t="str">
        <f t="shared" si="22"/>
        <v/>
      </c>
      <c r="AH136" s="21">
        <f t="shared" si="21"/>
        <v>36.039669148833099</v>
      </c>
      <c r="AI136" s="21" t="str">
        <f t="shared" si="20"/>
        <v/>
      </c>
      <c r="AJ136" s="52">
        <f t="shared" si="13"/>
        <v>36.084040238695849</v>
      </c>
      <c r="AL136" s="21">
        <f t="shared" si="14"/>
        <v>-4.3189598042755986</v>
      </c>
      <c r="AM136" s="21">
        <f t="shared" si="15"/>
        <v>-4.4832765715271483</v>
      </c>
      <c r="AN136" s="21">
        <f t="shared" si="16"/>
        <v>-3.0977168427770461</v>
      </c>
      <c r="AO136" s="21">
        <f t="shared" si="17"/>
        <v>-3.2620336100285958</v>
      </c>
      <c r="AP136" s="21">
        <f t="shared" si="18"/>
        <v>1.3863461988717924E-5</v>
      </c>
      <c r="AQ136" s="21">
        <f t="shared" si="19"/>
        <v>36.084040238695849</v>
      </c>
    </row>
    <row r="137" spans="6:43" x14ac:dyDescent="0.25">
      <c r="F137" s="49"/>
      <c r="AG137" s="21">
        <f t="shared" si="22"/>
        <v>37.287900016099023</v>
      </c>
      <c r="AH137" s="21" t="str">
        <f t="shared" si="21"/>
        <v/>
      </c>
      <c r="AI137" s="21">
        <f t="shared" si="20"/>
        <v>37.332814374446571</v>
      </c>
      <c r="AJ137" s="52" t="str">
        <f t="shared" si="13"/>
        <v/>
      </c>
      <c r="AL137" s="21" t="str">
        <f t="shared" si="14"/>
        <v/>
      </c>
      <c r="AM137" s="21" t="str">
        <f t="shared" si="15"/>
        <v/>
      </c>
      <c r="AN137" s="21" t="str">
        <f t="shared" si="16"/>
        <v/>
      </c>
      <c r="AO137" s="21" t="str">
        <f t="shared" si="17"/>
        <v/>
      </c>
      <c r="AP137" s="21" t="str">
        <f t="shared" si="18"/>
        <v/>
      </c>
      <c r="AQ137" s="21" t="str">
        <f t="shared" si="19"/>
        <v/>
      </c>
    </row>
    <row r="138" spans="6:43" x14ac:dyDescent="0.25">
      <c r="F138" s="49"/>
      <c r="AH138" s="21">
        <f t="shared" si="21"/>
        <v>38.550743745518609</v>
      </c>
      <c r="AI138" s="21" t="str">
        <f t="shared" si="20"/>
        <v/>
      </c>
      <c r="AJ138" s="52">
        <f t="shared" si="13"/>
        <v>38.596226781427767</v>
      </c>
      <c r="AL138" s="21">
        <f t="shared" si="14"/>
        <v>-4.6171022012755714</v>
      </c>
      <c r="AM138" s="21">
        <f t="shared" si="15"/>
        <v>-4.7814189685271211</v>
      </c>
      <c r="AN138" s="21">
        <f t="shared" si="16"/>
        <v>-3.395859239777018</v>
      </c>
      <c r="AO138" s="21">
        <f t="shared" si="17"/>
        <v>-3.5601760070285677</v>
      </c>
      <c r="AP138" s="21">
        <f t="shared" si="18"/>
        <v>3.1006015085263992E-6</v>
      </c>
      <c r="AQ138" s="21">
        <f t="shared" si="19"/>
        <v>38.596226781427767</v>
      </c>
    </row>
    <row r="139" spans="6:43" x14ac:dyDescent="0.25">
      <c r="F139" s="49"/>
      <c r="AI139" s="21">
        <f t="shared" si="20"/>
        <v>39.784370959712838</v>
      </c>
      <c r="AJ139" s="52" t="str">
        <f t="shared" si="13"/>
        <v/>
      </c>
      <c r="AL139" s="21" t="str">
        <f t="shared" si="14"/>
        <v/>
      </c>
      <c r="AM139" s="21" t="str">
        <f t="shared" si="15"/>
        <v/>
      </c>
      <c r="AN139" s="21" t="str">
        <f t="shared" si="16"/>
        <v/>
      </c>
      <c r="AO139" s="21" t="str">
        <f t="shared" si="17"/>
        <v/>
      </c>
      <c r="AP139" s="21" t="str">
        <f t="shared" si="18"/>
        <v/>
      </c>
      <c r="AQ139" s="21" t="str">
        <f t="shared" si="19"/>
        <v/>
      </c>
    </row>
    <row r="140" spans="6:43" x14ac:dyDescent="0.25">
      <c r="F140" s="53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2">
        <f t="shared" si="13"/>
        <v>40.989274362528178</v>
      </c>
      <c r="AL140" s="21">
        <f t="shared" si="14"/>
        <v>-4.9152445982755442</v>
      </c>
      <c r="AM140" s="21">
        <f t="shared" si="15"/>
        <v>-5.0795613655270939</v>
      </c>
      <c r="AN140" s="21">
        <f t="shared" si="16"/>
        <v>-3.6940016367769908</v>
      </c>
      <c r="AO140" s="21">
        <f t="shared" si="17"/>
        <v>-3.8583184040285405</v>
      </c>
      <c r="AP140" s="21">
        <f t="shared" si="18"/>
        <v>6.3821092298362432E-7</v>
      </c>
      <c r="AQ140" s="21">
        <f t="shared" si="19"/>
        <v>40.989274362528178</v>
      </c>
    </row>
  </sheetData>
  <mergeCells count="2">
    <mergeCell ref="F16:G16"/>
    <mergeCell ref="D110:E11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D06A-435A-487C-BBF9-A5C30841ED3C}">
  <dimension ref="A9:C24"/>
  <sheetViews>
    <sheetView workbookViewId="0">
      <selection activeCell="B24" sqref="B24"/>
    </sheetView>
  </sheetViews>
  <sheetFormatPr baseColWidth="10" defaultRowHeight="13.2" x14ac:dyDescent="0.25"/>
  <sheetData>
    <row r="9" spans="1:3" x14ac:dyDescent="0.25">
      <c r="A9" s="125" t="s">
        <v>72</v>
      </c>
      <c r="B9" s="125"/>
      <c r="C9" s="64">
        <f>2/(0.65-1/1.2*0.7)</f>
        <v>30.000000000000007</v>
      </c>
    </row>
    <row r="19" spans="1:2" x14ac:dyDescent="0.25">
      <c r="A19" t="s">
        <v>73</v>
      </c>
      <c r="B19">
        <v>100</v>
      </c>
    </row>
    <row r="20" spans="1:2" x14ac:dyDescent="0.25">
      <c r="B20">
        <f>1/POWER(1.2,2)</f>
        <v>0.69444444444444442</v>
      </c>
    </row>
    <row r="21" spans="1:2" x14ac:dyDescent="0.25">
      <c r="A21" t="s">
        <v>3</v>
      </c>
      <c r="B21">
        <f>NORMSINV(0.7)</f>
        <v>0.52440051270804078</v>
      </c>
    </row>
    <row r="22" spans="1:2" x14ac:dyDescent="0.25">
      <c r="A22" t="s">
        <v>74</v>
      </c>
      <c r="B22">
        <f>SQRT(2)*B21</f>
        <v>0.7416143171871159</v>
      </c>
    </row>
    <row r="23" spans="1:2" x14ac:dyDescent="0.25">
      <c r="A23" t="s">
        <v>75</v>
      </c>
      <c r="B23">
        <f>NORMSDIST(B22)</f>
        <v>0.77083947673802555</v>
      </c>
    </row>
    <row r="24" spans="1:2" x14ac:dyDescent="0.25">
      <c r="A24" t="s">
        <v>76</v>
      </c>
      <c r="B24" s="64">
        <f>B19*B20*B23</f>
        <v>53.530519217918439</v>
      </c>
    </row>
  </sheetData>
  <mergeCells count="1">
    <mergeCell ref="A9:B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2C5A-F2AF-41E5-B716-03E9C6B233F0}">
  <dimension ref="A1:N81"/>
  <sheetViews>
    <sheetView topLeftCell="A27" workbookViewId="0">
      <selection activeCell="N42" sqref="N42"/>
    </sheetView>
  </sheetViews>
  <sheetFormatPr baseColWidth="10" defaultColWidth="9.21875" defaultRowHeight="14.4" x14ac:dyDescent="0.3"/>
  <cols>
    <col min="1" max="1" width="12.21875" style="68" customWidth="1"/>
    <col min="2" max="3" width="10.21875" style="68" bestFit="1" customWidth="1"/>
    <col min="4" max="4" width="10.21875" style="68" customWidth="1"/>
    <col min="5" max="6" width="19.109375" style="68" bestFit="1" customWidth="1"/>
    <col min="7" max="7" width="12.88671875" style="68" bestFit="1" customWidth="1"/>
    <col min="8" max="8" width="15.6640625" style="68" bestFit="1" customWidth="1"/>
    <col min="9" max="9" width="9.21875" style="68"/>
    <col min="10" max="10" width="15.88671875" style="68" bestFit="1" customWidth="1"/>
    <col min="11" max="11" width="12.109375" style="68" bestFit="1" customWidth="1"/>
    <col min="12" max="12" width="13.6640625" style="68" bestFit="1" customWidth="1"/>
    <col min="13" max="13" width="19" style="68" bestFit="1" customWidth="1"/>
    <col min="14" max="16384" width="9.21875" style="68"/>
  </cols>
  <sheetData>
    <row r="1" spans="1:14" ht="18" x14ac:dyDescent="0.35">
      <c r="A1" s="65" t="s">
        <v>77</v>
      </c>
      <c r="B1" s="66"/>
      <c r="C1" s="66"/>
      <c r="D1" s="66"/>
      <c r="E1" s="66"/>
      <c r="F1" s="66"/>
      <c r="G1" s="66"/>
      <c r="H1" s="66"/>
      <c r="I1" s="67"/>
      <c r="J1" s="67"/>
      <c r="K1" s="67"/>
      <c r="L1" s="67"/>
      <c r="M1" s="67"/>
      <c r="N1" s="67"/>
    </row>
    <row r="2" spans="1:14" x14ac:dyDescent="0.3">
      <c r="A2" s="69"/>
      <c r="B2" s="70" t="s">
        <v>78</v>
      </c>
      <c r="C2" s="70" t="s">
        <v>79</v>
      </c>
      <c r="D2" s="70" t="s">
        <v>89</v>
      </c>
      <c r="E2" s="87" t="s">
        <v>84</v>
      </c>
      <c r="F2" s="87" t="s">
        <v>85</v>
      </c>
      <c r="G2" s="87" t="s">
        <v>86</v>
      </c>
      <c r="H2" s="87" t="s">
        <v>87</v>
      </c>
      <c r="I2" s="87" t="s">
        <v>88</v>
      </c>
      <c r="J2" s="67"/>
      <c r="K2" s="67"/>
      <c r="L2" s="67"/>
      <c r="M2" s="67"/>
      <c r="N2" s="67"/>
    </row>
    <row r="3" spans="1:14" ht="18" x14ac:dyDescent="0.35">
      <c r="A3" s="69"/>
      <c r="B3" s="73">
        <v>45744</v>
      </c>
      <c r="C3" s="74"/>
      <c r="D3" s="88"/>
      <c r="E3" s="82">
        <v>1</v>
      </c>
      <c r="F3" s="89"/>
      <c r="G3" s="89"/>
      <c r="H3" s="89"/>
      <c r="I3" s="90"/>
      <c r="J3" s="67"/>
      <c r="K3" s="68" t="s">
        <v>91</v>
      </c>
      <c r="L3" s="99">
        <f>H12/I12</f>
        <v>0.12566019963644465</v>
      </c>
      <c r="M3" s="67"/>
      <c r="N3" s="67"/>
    </row>
    <row r="4" spans="1:14" x14ac:dyDescent="0.3">
      <c r="A4" s="69"/>
      <c r="B4" s="75">
        <f>EDATE(B3,3)</f>
        <v>45836</v>
      </c>
      <c r="C4" s="76">
        <v>0.04</v>
      </c>
      <c r="D4" s="91">
        <f>(B4-$B$3)/365</f>
        <v>0.25205479452054796</v>
      </c>
      <c r="E4" s="82">
        <f>EXP(-C4*D4)</f>
        <v>0.98996846313427345</v>
      </c>
      <c r="F4" s="93">
        <f>(B4-B3)/365</f>
        <v>0.25205479452054796</v>
      </c>
      <c r="G4" s="93">
        <f>((E3/E4)-1)/F4</f>
        <v>4.0202323217775247E-2</v>
      </c>
      <c r="H4" s="93">
        <f>G4*F4*E4</f>
        <v>1.0031536865726581E-2</v>
      </c>
      <c r="I4" s="92">
        <f>F4*E4</f>
        <v>0.24952629755713196</v>
      </c>
      <c r="J4" s="67"/>
      <c r="K4" s="68" t="s">
        <v>92</v>
      </c>
      <c r="L4" s="98">
        <f>(1-E11)/I12</f>
        <v>0.12566019963644462</v>
      </c>
      <c r="M4" s="67"/>
      <c r="N4" s="67"/>
    </row>
    <row r="5" spans="1:14" x14ac:dyDescent="0.3">
      <c r="A5" s="69"/>
      <c r="B5" s="75">
        <f t="shared" ref="B5:B11" si="0">EDATE(B4,3)</f>
        <v>45928</v>
      </c>
      <c r="C5" s="76">
        <v>4.4999999999999998E-2</v>
      </c>
      <c r="D5" s="91">
        <f t="shared" ref="D5:D11" si="1">(B5-$B$3)/365</f>
        <v>0.50410958904109593</v>
      </c>
      <c r="E5" s="82">
        <f t="shared" ref="E5:E11" si="2">EXP(-C5*D5)</f>
        <v>0.9775704369020688</v>
      </c>
      <c r="F5" s="93">
        <f t="shared" ref="F5:F11" si="3">(B5-B4)/365</f>
        <v>0.25205479452054796</v>
      </c>
      <c r="G5" s="93">
        <f t="shared" ref="G5:G11" si="4">((E4/E5)-1)/F5</f>
        <v>5.0316396249258648E-2</v>
      </c>
      <c r="H5" s="93">
        <f t="shared" ref="H5:H11" si="5">G5*F5*E5</f>
        <v>1.2398026232204758E-2</v>
      </c>
      <c r="I5" s="92">
        <f t="shared" ref="I5:I11" si="6">F5*E5</f>
        <v>0.24640131560271325</v>
      </c>
      <c r="J5" s="67"/>
      <c r="K5" s="67"/>
      <c r="L5" s="67"/>
      <c r="M5" s="67"/>
      <c r="N5" s="67"/>
    </row>
    <row r="6" spans="1:14" x14ac:dyDescent="0.3">
      <c r="A6" s="69"/>
      <c r="B6" s="75">
        <f t="shared" si="0"/>
        <v>46019</v>
      </c>
      <c r="C6" s="76">
        <v>0.05</v>
      </c>
      <c r="D6" s="91">
        <f t="shared" si="1"/>
        <v>0.75342465753424659</v>
      </c>
      <c r="E6" s="82">
        <f t="shared" si="2"/>
        <v>0.96302950128980258</v>
      </c>
      <c r="F6" s="93">
        <f t="shared" si="3"/>
        <v>0.24931506849315069</v>
      </c>
      <c r="G6" s="93">
        <f t="shared" si="4"/>
        <v>6.0562561034926549E-2</v>
      </c>
      <c r="H6" s="93">
        <f t="shared" si="5"/>
        <v>1.4540935612266213E-2</v>
      </c>
      <c r="I6" s="92">
        <f t="shared" si="6"/>
        <v>0.24009776607499189</v>
      </c>
      <c r="J6" s="67"/>
      <c r="K6" s="67"/>
      <c r="L6" s="67"/>
      <c r="M6" s="67"/>
      <c r="N6" s="67"/>
    </row>
    <row r="7" spans="1:14" x14ac:dyDescent="0.3">
      <c r="A7" s="69"/>
      <c r="B7" s="75">
        <f t="shared" si="0"/>
        <v>46109</v>
      </c>
      <c r="C7" s="76">
        <v>0.06</v>
      </c>
      <c r="D7" s="91">
        <f t="shared" si="1"/>
        <v>1</v>
      </c>
      <c r="E7" s="82">
        <f t="shared" si="2"/>
        <v>0.94176453358424872</v>
      </c>
      <c r="F7" s="93">
        <f t="shared" si="3"/>
        <v>0.24657534246575341</v>
      </c>
      <c r="G7" s="93">
        <f t="shared" si="4"/>
        <v>9.1574119476281093E-2</v>
      </c>
      <c r="H7" s="93">
        <f t="shared" si="5"/>
        <v>2.1264967705553785E-2</v>
      </c>
      <c r="I7" s="92">
        <f t="shared" si="6"/>
        <v>0.23221591239063666</v>
      </c>
      <c r="J7" s="67"/>
      <c r="K7" s="67"/>
      <c r="L7" s="67"/>
      <c r="M7" s="67"/>
      <c r="N7" s="67"/>
    </row>
    <row r="8" spans="1:14" x14ac:dyDescent="0.3">
      <c r="A8" s="69"/>
      <c r="B8" s="75">
        <f t="shared" si="0"/>
        <v>46201</v>
      </c>
      <c r="C8" s="76">
        <v>7.0000000000000007E-2</v>
      </c>
      <c r="D8" s="91">
        <f t="shared" si="1"/>
        <v>1.252054794520548</v>
      </c>
      <c r="E8" s="82">
        <f t="shared" si="2"/>
        <v>0.91608709622190843</v>
      </c>
      <c r="F8" s="93">
        <f t="shared" si="3"/>
        <v>0.25205479452054796</v>
      </c>
      <c r="G8" s="93">
        <f t="shared" si="4"/>
        <v>0.11120388239221272</v>
      </c>
      <c r="H8" s="93">
        <f t="shared" si="5"/>
        <v>2.5677437362340273E-2</v>
      </c>
      <c r="I8" s="92">
        <f t="shared" si="6"/>
        <v>0.23090414480113858</v>
      </c>
      <c r="J8" s="67"/>
      <c r="K8" s="67"/>
      <c r="L8" s="67"/>
      <c r="M8" s="67"/>
      <c r="N8" s="67"/>
    </row>
    <row r="9" spans="1:14" x14ac:dyDescent="0.3">
      <c r="A9" s="69"/>
      <c r="B9" s="75">
        <f t="shared" si="0"/>
        <v>46293</v>
      </c>
      <c r="C9" s="77">
        <v>0.08</v>
      </c>
      <c r="D9" s="91">
        <f t="shared" si="1"/>
        <v>1.5041095890410958</v>
      </c>
      <c r="E9" s="82">
        <f t="shared" si="2"/>
        <v>0.88662889436398939</v>
      </c>
      <c r="F9" s="93">
        <f t="shared" si="3"/>
        <v>0.25205479452054796</v>
      </c>
      <c r="G9" s="93">
        <f t="shared" si="4"/>
        <v>0.13181638297121789</v>
      </c>
      <c r="H9" s="93">
        <f t="shared" si="5"/>
        <v>2.9458201857919079E-2</v>
      </c>
      <c r="I9" s="92">
        <f t="shared" si="6"/>
        <v>0.22347906378489599</v>
      </c>
      <c r="J9" s="67"/>
      <c r="K9" s="67"/>
      <c r="L9" s="67"/>
      <c r="M9" s="67"/>
      <c r="N9" s="67"/>
    </row>
    <row r="10" spans="1:14" x14ac:dyDescent="0.3">
      <c r="A10" s="69"/>
      <c r="B10" s="75">
        <f t="shared" si="0"/>
        <v>46384</v>
      </c>
      <c r="C10" s="76">
        <v>0.1</v>
      </c>
      <c r="D10" s="91">
        <f t="shared" si="1"/>
        <v>1.7534246575342465</v>
      </c>
      <c r="E10" s="82">
        <f t="shared" si="2"/>
        <v>0.8391695847094347</v>
      </c>
      <c r="F10" s="93">
        <f t="shared" si="3"/>
        <v>0.24931506849315069</v>
      </c>
      <c r="G10" s="93">
        <f t="shared" si="4"/>
        <v>0.22684183621771264</v>
      </c>
      <c r="H10" s="93">
        <f t="shared" si="5"/>
        <v>4.7459309654554686E-2</v>
      </c>
      <c r="I10" s="92">
        <f t="shared" si="6"/>
        <v>0.20921762248920153</v>
      </c>
      <c r="J10" s="67"/>
      <c r="K10" s="67"/>
      <c r="L10" s="67"/>
      <c r="M10" s="67"/>
      <c r="N10" s="67"/>
    </row>
    <row r="11" spans="1:14" x14ac:dyDescent="0.3">
      <c r="A11" s="69"/>
      <c r="B11" s="78">
        <f t="shared" si="0"/>
        <v>46474</v>
      </c>
      <c r="C11" s="79">
        <v>0.13</v>
      </c>
      <c r="D11" s="91">
        <f t="shared" si="1"/>
        <v>2</v>
      </c>
      <c r="E11" s="82">
        <f t="shared" si="2"/>
        <v>0.77105158580356625</v>
      </c>
      <c r="F11" s="93">
        <f t="shared" si="3"/>
        <v>0.24657534246575341</v>
      </c>
      <c r="G11" s="93">
        <f t="shared" si="4"/>
        <v>0.35828514457708566</v>
      </c>
      <c r="H11" s="93">
        <f t="shared" si="5"/>
        <v>6.8117998905868407E-2</v>
      </c>
      <c r="I11" s="92">
        <f t="shared" si="6"/>
        <v>0.1901223088282766</v>
      </c>
      <c r="J11" s="67"/>
      <c r="K11" s="67"/>
      <c r="L11" s="67"/>
      <c r="M11" s="67"/>
      <c r="N11" s="67"/>
    </row>
    <row r="12" spans="1:14" ht="18" x14ac:dyDescent="0.35">
      <c r="A12" s="69"/>
      <c r="B12" s="80"/>
      <c r="C12" s="81"/>
      <c r="D12" s="81"/>
      <c r="E12" s="71"/>
      <c r="F12" s="72"/>
      <c r="G12" s="89" t="s">
        <v>90</v>
      </c>
      <c r="H12" s="89">
        <f>SUM(H4:H11)</f>
        <v>0.2289484141964338</v>
      </c>
      <c r="I12" s="89">
        <f>SUM(I4:I11)</f>
        <v>1.8219644315289865</v>
      </c>
      <c r="J12" s="67"/>
      <c r="K12" s="67"/>
      <c r="L12" s="67"/>
      <c r="M12" s="67"/>
      <c r="N12" s="67"/>
    </row>
    <row r="13" spans="1:14" ht="18" x14ac:dyDescent="0.35">
      <c r="A13" s="65" t="s">
        <v>80</v>
      </c>
      <c r="B13" s="72"/>
      <c r="C13" s="72"/>
      <c r="D13" s="72"/>
      <c r="E13" s="72"/>
      <c r="F13" s="72"/>
      <c r="G13" s="72"/>
      <c r="H13" s="72"/>
      <c r="I13" s="67"/>
      <c r="J13" s="67"/>
      <c r="L13" s="67"/>
      <c r="M13" s="67"/>
      <c r="N13" s="67"/>
    </row>
    <row r="14" spans="1:14" x14ac:dyDescent="0.3">
      <c r="A14" s="69"/>
      <c r="B14" s="70" t="s">
        <v>78</v>
      </c>
      <c r="C14" s="70" t="s">
        <v>79</v>
      </c>
      <c r="D14" s="70" t="s">
        <v>89</v>
      </c>
      <c r="E14" s="87" t="s">
        <v>84</v>
      </c>
      <c r="F14" s="86" t="s">
        <v>85</v>
      </c>
      <c r="G14" s="87" t="s">
        <v>86</v>
      </c>
      <c r="H14" s="87" t="s">
        <v>93</v>
      </c>
      <c r="I14" s="87" t="s">
        <v>94</v>
      </c>
      <c r="J14" s="82" t="s">
        <v>81</v>
      </c>
      <c r="K14" s="67"/>
      <c r="L14" s="67"/>
      <c r="M14" s="67"/>
      <c r="N14" s="67"/>
    </row>
    <row r="15" spans="1:14" ht="18" x14ac:dyDescent="0.35">
      <c r="A15" s="69"/>
      <c r="B15" s="73">
        <v>45744</v>
      </c>
      <c r="C15" s="74"/>
      <c r="D15" s="88"/>
      <c r="E15" s="82">
        <v>1</v>
      </c>
      <c r="F15" s="92"/>
      <c r="G15" s="89"/>
      <c r="H15" s="89"/>
      <c r="I15" s="92"/>
      <c r="J15" s="95"/>
      <c r="K15" s="67"/>
      <c r="L15" s="67"/>
      <c r="M15" s="67"/>
      <c r="N15" s="67"/>
    </row>
    <row r="16" spans="1:14" ht="18" x14ac:dyDescent="0.35">
      <c r="A16" s="69"/>
      <c r="B16" s="75">
        <f>EDATE(B15,3)</f>
        <v>45836</v>
      </c>
      <c r="C16" s="76">
        <v>0.04</v>
      </c>
      <c r="D16" s="91">
        <f t="shared" ref="D16:D23" si="7">(B16-$B$15)/365</f>
        <v>0.25205479452054796</v>
      </c>
      <c r="E16" s="82">
        <f t="shared" ref="E16:E23" si="8">EXP(-C16*D16)</f>
        <v>0.98996846313427345</v>
      </c>
      <c r="F16" s="92"/>
      <c r="G16" s="89"/>
      <c r="H16" s="89"/>
      <c r="I16" s="92"/>
      <c r="J16" s="95"/>
      <c r="K16" s="67"/>
      <c r="L16" s="67"/>
      <c r="M16" s="67"/>
      <c r="N16" s="67"/>
    </row>
    <row r="17" spans="1:14" ht="18" x14ac:dyDescent="0.35">
      <c r="A17" s="69"/>
      <c r="B17" s="75">
        <f t="shared" ref="B17:B23" si="9">EDATE(B16,3)</f>
        <v>45928</v>
      </c>
      <c r="C17" s="76">
        <v>4.4999999999999998E-2</v>
      </c>
      <c r="D17" s="91">
        <f t="shared" si="7"/>
        <v>0.50410958904109593</v>
      </c>
      <c r="E17" s="82">
        <f t="shared" si="8"/>
        <v>0.9775704369020688</v>
      </c>
      <c r="F17" s="92"/>
      <c r="G17" s="89"/>
      <c r="H17" s="89"/>
      <c r="I17" s="92"/>
      <c r="J17" s="95"/>
      <c r="K17" s="67"/>
      <c r="L17" s="68" t="s">
        <v>95</v>
      </c>
      <c r="M17" s="98">
        <f>H24/I24</f>
        <v>0.14277654682863236</v>
      </c>
      <c r="N17" s="67"/>
    </row>
    <row r="18" spans="1:14" ht="18" x14ac:dyDescent="0.35">
      <c r="A18" s="69"/>
      <c r="B18" s="75">
        <f t="shared" si="9"/>
        <v>46019</v>
      </c>
      <c r="C18" s="76">
        <v>0.05</v>
      </c>
      <c r="D18" s="91">
        <f t="shared" si="7"/>
        <v>0.75342465753424659</v>
      </c>
      <c r="E18" s="82">
        <f t="shared" si="8"/>
        <v>0.96302950128980258</v>
      </c>
      <c r="F18" s="92"/>
      <c r="G18" s="89"/>
      <c r="H18" s="89"/>
      <c r="I18" s="92"/>
      <c r="J18" s="95"/>
      <c r="K18" s="67"/>
      <c r="L18" s="67"/>
    </row>
    <row r="19" spans="1:14" ht="18" x14ac:dyDescent="0.35">
      <c r="A19" s="69"/>
      <c r="B19" s="75">
        <f t="shared" si="9"/>
        <v>46109</v>
      </c>
      <c r="C19" s="76">
        <v>0.06</v>
      </c>
      <c r="D19" s="91">
        <f t="shared" si="7"/>
        <v>1</v>
      </c>
      <c r="E19" s="82">
        <f t="shared" si="8"/>
        <v>0.94176453358424872</v>
      </c>
      <c r="F19" s="92">
        <f>(B17-B15)/365</f>
        <v>0.50410958904109593</v>
      </c>
      <c r="G19" s="89">
        <f>(E17/E19-1)/F19</f>
        <v>7.5420141872825391E-2</v>
      </c>
      <c r="H19" s="89">
        <f>G19*F19*E19*J19</f>
        <v>1.0741770995346038</v>
      </c>
      <c r="I19" s="92">
        <f>F19*E19*J19</f>
        <v>14.24257595995905</v>
      </c>
      <c r="J19" s="95">
        <v>30</v>
      </c>
      <c r="K19" s="67"/>
      <c r="L19" s="67"/>
      <c r="M19" s="67"/>
      <c r="N19" s="67"/>
    </row>
    <row r="20" spans="1:14" ht="18" x14ac:dyDescent="0.35">
      <c r="A20" s="69"/>
      <c r="B20" s="75">
        <f t="shared" si="9"/>
        <v>46201</v>
      </c>
      <c r="C20" s="76">
        <v>7.0000000000000007E-2</v>
      </c>
      <c r="D20" s="91">
        <f t="shared" si="7"/>
        <v>1.252054794520548</v>
      </c>
      <c r="E20" s="82">
        <f t="shared" si="8"/>
        <v>0.91608709622190843</v>
      </c>
      <c r="F20" s="92"/>
      <c r="G20" s="89"/>
      <c r="H20" s="89"/>
      <c r="I20" s="92"/>
      <c r="J20" s="95"/>
      <c r="K20" s="67"/>
      <c r="L20" s="67"/>
      <c r="M20" s="67"/>
      <c r="N20" s="67"/>
    </row>
    <row r="21" spans="1:14" ht="18" x14ac:dyDescent="0.35">
      <c r="A21" s="69"/>
      <c r="B21" s="75">
        <f t="shared" si="9"/>
        <v>46293</v>
      </c>
      <c r="C21" s="77">
        <v>0.08</v>
      </c>
      <c r="D21" s="91">
        <f t="shared" si="7"/>
        <v>1.5041095890410958</v>
      </c>
      <c r="E21" s="82">
        <f t="shared" si="8"/>
        <v>0.88662889436398939</v>
      </c>
      <c r="F21" s="92">
        <f>(B21-B19)/365</f>
        <v>0.50410958904109593</v>
      </c>
      <c r="G21" s="89">
        <f>(E19/E21-1)/F21</f>
        <v>0.12335750447148984</v>
      </c>
      <c r="H21" s="89">
        <f>G21*F21*E21*J21</f>
        <v>1.6540691766077802</v>
      </c>
      <c r="I21" s="92">
        <f>F21*E21*J21</f>
        <v>13.40874382709376</v>
      </c>
      <c r="J21" s="95">
        <v>30</v>
      </c>
      <c r="K21" s="67"/>
      <c r="L21" s="67"/>
      <c r="M21" s="67"/>
      <c r="N21" s="67"/>
    </row>
    <row r="22" spans="1:14" ht="18" x14ac:dyDescent="0.35">
      <c r="A22" s="69"/>
      <c r="B22" s="75">
        <f t="shared" si="9"/>
        <v>46384</v>
      </c>
      <c r="C22" s="76">
        <v>0.1</v>
      </c>
      <c r="D22" s="91">
        <f t="shared" si="7"/>
        <v>1.7534246575342465</v>
      </c>
      <c r="E22" s="82">
        <f t="shared" si="8"/>
        <v>0.8391695847094347</v>
      </c>
      <c r="F22" s="92"/>
      <c r="G22" s="89"/>
      <c r="H22" s="89"/>
      <c r="I22" s="92"/>
      <c r="J22" s="95"/>
      <c r="K22" s="67"/>
      <c r="L22" s="67"/>
      <c r="M22" s="67"/>
      <c r="N22" s="67"/>
    </row>
    <row r="23" spans="1:14" ht="18" x14ac:dyDescent="0.35">
      <c r="A23" s="69"/>
      <c r="B23" s="78">
        <f t="shared" si="9"/>
        <v>46474</v>
      </c>
      <c r="C23" s="79">
        <v>0.13</v>
      </c>
      <c r="D23" s="91">
        <f t="shared" si="7"/>
        <v>2</v>
      </c>
      <c r="E23" s="82">
        <f t="shared" si="8"/>
        <v>0.77105158580356625</v>
      </c>
      <c r="F23" s="92">
        <f>(B23-B21)/365</f>
        <v>0.49589041095890413</v>
      </c>
      <c r="G23" s="89">
        <f>(E21/E23-1)/F23</f>
        <v>0.30227583654624951</v>
      </c>
      <c r="H23" s="89">
        <f>G23*F23*E23*J23</f>
        <v>2.311546171208462</v>
      </c>
      <c r="I23" s="92">
        <f>F23*E23*J23</f>
        <v>7.6471417550929042</v>
      </c>
      <c r="J23" s="96">
        <v>20</v>
      </c>
      <c r="K23" s="67"/>
      <c r="L23" s="67"/>
      <c r="M23" s="67"/>
      <c r="N23" s="67"/>
    </row>
    <row r="24" spans="1:14" ht="18" x14ac:dyDescent="0.35">
      <c r="A24" s="69"/>
      <c r="B24" s="80"/>
      <c r="C24" s="81"/>
      <c r="D24" s="81"/>
      <c r="E24" s="83"/>
      <c r="F24" s="72"/>
      <c r="G24" s="89" t="s">
        <v>90</v>
      </c>
      <c r="H24" s="89">
        <f>SUM(H19:H23)</f>
        <v>5.0397924473508464</v>
      </c>
      <c r="I24" s="89">
        <f>SUM(I19:I23)</f>
        <v>35.298461542145716</v>
      </c>
      <c r="J24" s="90"/>
      <c r="K24" s="67"/>
      <c r="L24" s="67"/>
      <c r="M24" s="67"/>
      <c r="N24" s="67"/>
    </row>
    <row r="25" spans="1:14" ht="18" x14ac:dyDescent="0.35">
      <c r="A25" s="65" t="s">
        <v>82</v>
      </c>
      <c r="B25" s="72"/>
      <c r="C25" s="72"/>
      <c r="D25" s="72"/>
      <c r="E25" s="72"/>
      <c r="F25" s="72"/>
      <c r="G25" s="72"/>
      <c r="H25" s="72"/>
      <c r="I25" s="67"/>
      <c r="J25" s="67"/>
      <c r="K25" s="67"/>
      <c r="L25" s="67"/>
      <c r="M25" s="67"/>
      <c r="N25" s="67"/>
    </row>
    <row r="26" spans="1:14" x14ac:dyDescent="0.3">
      <c r="A26" s="69"/>
      <c r="B26" s="84" t="s">
        <v>78</v>
      </c>
      <c r="C26" s="82" t="s">
        <v>79</v>
      </c>
      <c r="D26" s="70" t="s">
        <v>89</v>
      </c>
      <c r="E26" s="87" t="s">
        <v>84</v>
      </c>
      <c r="F26" s="87" t="s">
        <v>85</v>
      </c>
      <c r="G26" s="87" t="s">
        <v>86</v>
      </c>
      <c r="H26" s="87" t="s">
        <v>93</v>
      </c>
      <c r="I26" s="101" t="s">
        <v>94</v>
      </c>
      <c r="J26" s="97" t="s">
        <v>98</v>
      </c>
      <c r="K26" s="67"/>
      <c r="L26" s="67"/>
      <c r="M26" s="67"/>
      <c r="N26" s="67"/>
    </row>
    <row r="27" spans="1:14" ht="18" x14ac:dyDescent="0.35">
      <c r="A27" s="69"/>
      <c r="B27" s="85">
        <v>45792</v>
      </c>
      <c r="C27" s="76"/>
      <c r="D27" s="88"/>
      <c r="E27" s="82">
        <v>1</v>
      </c>
      <c r="F27" s="89"/>
      <c r="G27" s="89"/>
      <c r="H27" s="89"/>
      <c r="I27" s="102"/>
      <c r="J27" s="92"/>
      <c r="K27" s="67"/>
      <c r="L27" s="67"/>
      <c r="M27" s="67"/>
      <c r="N27" s="67"/>
    </row>
    <row r="28" spans="1:14" x14ac:dyDescent="0.3">
      <c r="A28" s="69"/>
      <c r="B28" s="75">
        <v>45836</v>
      </c>
      <c r="C28" s="76">
        <v>0.02</v>
      </c>
      <c r="D28" s="91">
        <f>(B28-$B$27)/365</f>
        <v>0.12054794520547946</v>
      </c>
      <c r="E28" s="82">
        <f>EXP(-C28*D28)</f>
        <v>0.99759194512301019</v>
      </c>
      <c r="F28" s="93">
        <f>(B28-B27)/365</f>
        <v>0.12054794520547946</v>
      </c>
      <c r="G28" s="93">
        <f>G4</f>
        <v>4.0202323217775247E-2</v>
      </c>
      <c r="H28" s="93">
        <f>G28*F28*E28*10</f>
        <v>4.8346372820835946E-2</v>
      </c>
      <c r="I28" s="103">
        <f>F28*E28*10</f>
        <v>1.202576591381163</v>
      </c>
      <c r="J28" s="92">
        <f>I28*$L$3</f>
        <v>0.15111601455107207</v>
      </c>
      <c r="K28" s="67"/>
      <c r="L28" s="67"/>
      <c r="M28" s="67"/>
      <c r="N28" s="67"/>
    </row>
    <row r="29" spans="1:14" x14ac:dyDescent="0.3">
      <c r="A29" s="69"/>
      <c r="B29" s="75">
        <v>45928</v>
      </c>
      <c r="C29" s="76">
        <v>3.5000000000000003E-2</v>
      </c>
      <c r="D29" s="91">
        <f t="shared" ref="D29:D35" si="10">(B29-$B$27)/365</f>
        <v>0.37260273972602742</v>
      </c>
      <c r="E29" s="82">
        <f t="shared" ref="E29:E35" si="11">EXP(-C29*D29)</f>
        <v>0.98704357075236648</v>
      </c>
      <c r="F29" s="93">
        <f t="shared" ref="F29:F35" si="12">(B29-B28)/365</f>
        <v>0.25205479452054796</v>
      </c>
      <c r="G29" s="93">
        <f t="shared" ref="G29:G35" si="13">((E28/E29)-1)/F29</f>
        <v>4.2398866669277287E-2</v>
      </c>
      <c r="H29" s="93">
        <f t="shared" ref="H29:H35" si="14">G29*F29*E29*10</f>
        <v>0.10548374370643614</v>
      </c>
      <c r="I29" s="103">
        <f t="shared" ref="I29:I35" si="15">F29*E29*10</f>
        <v>2.4878906440881567</v>
      </c>
      <c r="J29" s="92">
        <f t="shared" ref="J29:J35" si="16">I29*$L$3</f>
        <v>0.31262883500976063</v>
      </c>
      <c r="K29" s="67"/>
      <c r="L29" s="67"/>
      <c r="M29" s="67"/>
      <c r="N29" s="67"/>
    </row>
    <row r="30" spans="1:14" x14ac:dyDescent="0.3">
      <c r="A30" s="69"/>
      <c r="B30" s="75">
        <v>46019</v>
      </c>
      <c r="C30" s="76">
        <v>0.04</v>
      </c>
      <c r="D30" s="91">
        <f t="shared" si="10"/>
        <v>0.62191780821917808</v>
      </c>
      <c r="E30" s="82">
        <f t="shared" si="11"/>
        <v>0.97543016312870368</v>
      </c>
      <c r="F30" s="93">
        <f t="shared" si="12"/>
        <v>0.24931506849315069</v>
      </c>
      <c r="G30" s="93">
        <f t="shared" si="13"/>
        <v>4.7754572412685832E-2</v>
      </c>
      <c r="H30" s="93">
        <f t="shared" si="14"/>
        <v>0.11613407623662834</v>
      </c>
      <c r="I30" s="103">
        <f t="shared" si="15"/>
        <v>2.4318943793071792</v>
      </c>
      <c r="J30" s="92">
        <f t="shared" si="16"/>
        <v>0.30559233319848778</v>
      </c>
      <c r="K30" s="67"/>
      <c r="L30" s="126" t="s">
        <v>97</v>
      </c>
      <c r="M30" s="127"/>
      <c r="N30" s="100">
        <f>H36-J36</f>
        <v>-1.3583511541204425</v>
      </c>
    </row>
    <row r="31" spans="1:14" x14ac:dyDescent="0.3">
      <c r="A31" s="69"/>
      <c r="B31" s="75">
        <v>46109</v>
      </c>
      <c r="C31" s="76">
        <v>4.1000000000000002E-2</v>
      </c>
      <c r="D31" s="91">
        <f t="shared" si="10"/>
        <v>0.86849315068493149</v>
      </c>
      <c r="E31" s="82">
        <f t="shared" si="11"/>
        <v>0.96501829509221437</v>
      </c>
      <c r="F31" s="93">
        <f t="shared" si="12"/>
        <v>0.24657534246575341</v>
      </c>
      <c r="G31" s="93">
        <f t="shared" si="13"/>
        <v>4.3756589355708427E-2</v>
      </c>
      <c r="H31" s="93">
        <f t="shared" si="14"/>
        <v>0.10411868036489394</v>
      </c>
      <c r="I31" s="103">
        <f t="shared" si="15"/>
        <v>2.3794971659808022</v>
      </c>
      <c r="J31" s="92">
        <f t="shared" si="16"/>
        <v>0.29900808891150188</v>
      </c>
      <c r="K31" s="67"/>
      <c r="L31" s="67"/>
      <c r="M31" s="67"/>
      <c r="N31" s="67"/>
    </row>
    <row r="32" spans="1:14" x14ac:dyDescent="0.3">
      <c r="A32" s="69"/>
      <c r="B32" s="75">
        <v>46201</v>
      </c>
      <c r="C32" s="76">
        <v>4.2999999999999997E-2</v>
      </c>
      <c r="D32" s="91">
        <f t="shared" si="10"/>
        <v>1.1205479452054794</v>
      </c>
      <c r="E32" s="82">
        <f t="shared" si="11"/>
        <v>0.95295884432963396</v>
      </c>
      <c r="F32" s="93">
        <f t="shared" si="12"/>
        <v>0.25205479452054796</v>
      </c>
      <c r="G32" s="93">
        <f t="shared" si="13"/>
        <v>5.0206323573531789E-2</v>
      </c>
      <c r="H32" s="93">
        <f t="shared" si="14"/>
        <v>0.12059450762580469</v>
      </c>
      <c r="I32" s="103">
        <f t="shared" si="15"/>
        <v>2.4019784569404474</v>
      </c>
      <c r="J32" s="92">
        <f t="shared" si="16"/>
        <v>0.30183309242157591</v>
      </c>
      <c r="K32" s="67"/>
      <c r="L32" s="67"/>
      <c r="M32" s="67"/>
      <c r="N32" s="67"/>
    </row>
    <row r="33" spans="1:14" x14ac:dyDescent="0.3">
      <c r="A33" s="69"/>
      <c r="B33" s="75">
        <v>46293</v>
      </c>
      <c r="C33" s="77">
        <v>4.7E-2</v>
      </c>
      <c r="D33" s="91">
        <f t="shared" si="10"/>
        <v>1.3726027397260274</v>
      </c>
      <c r="E33" s="82">
        <f t="shared" si="11"/>
        <v>0.93752455566887904</v>
      </c>
      <c r="F33" s="93">
        <f t="shared" si="12"/>
        <v>0.25205479452054796</v>
      </c>
      <c r="G33" s="93">
        <f t="shared" si="13"/>
        <v>6.5314409367961179E-2</v>
      </c>
      <c r="H33" s="93">
        <f t="shared" si="14"/>
        <v>0.15434288660754858</v>
      </c>
      <c r="I33" s="103">
        <f t="shared" si="15"/>
        <v>2.3630755923708735</v>
      </c>
      <c r="J33" s="92">
        <f t="shared" si="16"/>
        <v>0.29694455069333364</v>
      </c>
      <c r="K33" s="67"/>
      <c r="L33" s="67"/>
      <c r="M33" s="67"/>
      <c r="N33" s="67"/>
    </row>
    <row r="34" spans="1:14" x14ac:dyDescent="0.3">
      <c r="A34" s="69"/>
      <c r="B34" s="75">
        <v>46384</v>
      </c>
      <c r="C34" s="76">
        <v>4.7500000000000001E-2</v>
      </c>
      <c r="D34" s="91">
        <f t="shared" si="10"/>
        <v>1.6219178082191781</v>
      </c>
      <c r="E34" s="82">
        <f t="shared" si="11"/>
        <v>0.92585180412038304</v>
      </c>
      <c r="F34" s="93">
        <f t="shared" si="12"/>
        <v>0.24931506849315069</v>
      </c>
      <c r="G34" s="93">
        <f t="shared" si="13"/>
        <v>5.0568868560453818E-2</v>
      </c>
      <c r="H34" s="93">
        <f t="shared" si="14"/>
        <v>0.11672751548496066</v>
      </c>
      <c r="I34" s="103">
        <f t="shared" si="15"/>
        <v>2.3082880595878046</v>
      </c>
      <c r="J34" s="92">
        <f t="shared" si="16"/>
        <v>0.29005993838622496</v>
      </c>
      <c r="K34" s="67"/>
      <c r="L34" s="67"/>
      <c r="M34" s="67"/>
      <c r="N34" s="67"/>
    </row>
    <row r="35" spans="1:14" x14ac:dyDescent="0.3">
      <c r="A35" s="69"/>
      <c r="B35" s="78">
        <v>46474</v>
      </c>
      <c r="C35" s="79">
        <v>4.8000000000000001E-2</v>
      </c>
      <c r="D35" s="91">
        <f t="shared" si="10"/>
        <v>1.8684931506849316</v>
      </c>
      <c r="E35" s="82">
        <f t="shared" si="11"/>
        <v>0.91421667685285557</v>
      </c>
      <c r="F35" s="93">
        <f t="shared" si="12"/>
        <v>0.24657534246575341</v>
      </c>
      <c r="G35" s="93">
        <f t="shared" si="13"/>
        <v>5.1614574776578791E-2</v>
      </c>
      <c r="H35" s="93">
        <f t="shared" si="14"/>
        <v>0.11635127267527498</v>
      </c>
      <c r="I35" s="103">
        <f t="shared" si="15"/>
        <v>2.2542329018289591</v>
      </c>
      <c r="J35" s="92">
        <f t="shared" si="16"/>
        <v>0.28326735647086893</v>
      </c>
      <c r="K35" s="67"/>
      <c r="L35" s="67"/>
      <c r="M35" s="67"/>
      <c r="N35" s="67"/>
    </row>
    <row r="36" spans="1:14" ht="18" x14ac:dyDescent="0.35">
      <c r="A36" s="69"/>
      <c r="B36" s="69"/>
      <c r="C36" s="72"/>
      <c r="D36" s="81"/>
      <c r="E36" s="71"/>
      <c r="F36" s="72"/>
      <c r="G36" s="89" t="s">
        <v>90</v>
      </c>
      <c r="H36" s="89">
        <f>SUM(H28:H35)</f>
        <v>0.88209905552238332</v>
      </c>
      <c r="I36" s="89">
        <f>SUM(I28:I35)</f>
        <v>17.829433791485386</v>
      </c>
      <c r="J36" s="89">
        <f>SUM(J28:J35)</f>
        <v>2.2404502096428258</v>
      </c>
      <c r="K36" s="67"/>
      <c r="L36" s="67"/>
      <c r="M36" s="67"/>
      <c r="N36" s="67"/>
    </row>
    <row r="37" spans="1:14" ht="18" x14ac:dyDescent="0.35">
      <c r="A37" s="65" t="s">
        <v>83</v>
      </c>
      <c r="B37" s="72"/>
      <c r="C37" s="72"/>
      <c r="D37" s="72"/>
      <c r="E37" s="72"/>
      <c r="F37" s="69"/>
      <c r="G37" s="69"/>
      <c r="H37" s="69"/>
      <c r="I37" s="67"/>
      <c r="J37" s="67"/>
      <c r="K37" s="67"/>
      <c r="L37" s="67"/>
      <c r="M37" s="67"/>
      <c r="N37" s="67"/>
    </row>
    <row r="38" spans="1:14" x14ac:dyDescent="0.3">
      <c r="A38" s="69"/>
      <c r="B38" s="70" t="s">
        <v>78</v>
      </c>
      <c r="C38" s="82" t="s">
        <v>79</v>
      </c>
      <c r="D38" s="70" t="s">
        <v>89</v>
      </c>
      <c r="E38" s="87" t="s">
        <v>84</v>
      </c>
      <c r="F38" s="86" t="s">
        <v>85</v>
      </c>
      <c r="G38" s="87" t="s">
        <v>86</v>
      </c>
      <c r="H38" s="87" t="s">
        <v>93</v>
      </c>
      <c r="I38" s="87" t="s">
        <v>94</v>
      </c>
      <c r="J38" s="82" t="s">
        <v>81</v>
      </c>
      <c r="K38" s="97" t="s">
        <v>96</v>
      </c>
      <c r="L38" s="67"/>
      <c r="M38" s="67"/>
      <c r="N38" s="67"/>
    </row>
    <row r="39" spans="1:14" ht="18" x14ac:dyDescent="0.35">
      <c r="A39" s="69"/>
      <c r="B39" s="85">
        <v>45792</v>
      </c>
      <c r="C39" s="76"/>
      <c r="D39" s="88"/>
      <c r="E39" s="82">
        <v>1</v>
      </c>
      <c r="F39" s="92"/>
      <c r="G39" s="89"/>
      <c r="H39" s="89"/>
      <c r="I39" s="92"/>
      <c r="J39" s="95"/>
      <c r="K39" s="92"/>
      <c r="L39" s="67"/>
      <c r="M39" s="67"/>
      <c r="N39" s="67"/>
    </row>
    <row r="40" spans="1:14" ht="18" x14ac:dyDescent="0.35">
      <c r="A40" s="69"/>
      <c r="B40" s="75">
        <v>45836</v>
      </c>
      <c r="C40" s="76">
        <v>0.02</v>
      </c>
      <c r="D40" s="91">
        <f>(B40-$B$39)/365</f>
        <v>0.12054794520547946</v>
      </c>
      <c r="E40" s="82">
        <f t="shared" ref="E40:E47" si="17">EXP(-C40*D40)</f>
        <v>0.99759194512301019</v>
      </c>
      <c r="F40" s="92"/>
      <c r="G40" s="89"/>
      <c r="H40" s="89"/>
      <c r="I40" s="92"/>
      <c r="J40" s="95"/>
      <c r="K40" s="92"/>
      <c r="L40" s="67"/>
      <c r="M40" s="67"/>
      <c r="N40" s="67"/>
    </row>
    <row r="41" spans="1:14" ht="18" x14ac:dyDescent="0.35">
      <c r="A41" s="69"/>
      <c r="B41" s="75">
        <v>45928</v>
      </c>
      <c r="C41" s="76">
        <v>3.5000000000000003E-2</v>
      </c>
      <c r="D41" s="91">
        <f t="shared" ref="D41:D47" si="18">(B41-$B$39)/365</f>
        <v>0.37260273972602742</v>
      </c>
      <c r="E41" s="82">
        <f t="shared" si="17"/>
        <v>0.98704357075236648</v>
      </c>
      <c r="F41" s="92"/>
      <c r="G41" s="89"/>
      <c r="H41" s="89"/>
      <c r="I41" s="92"/>
      <c r="J41" s="95"/>
      <c r="K41" s="92"/>
      <c r="M41" s="94"/>
      <c r="N41" s="67"/>
    </row>
    <row r="42" spans="1:14" ht="18" x14ac:dyDescent="0.35">
      <c r="A42" s="69"/>
      <c r="B42" s="75">
        <v>46019</v>
      </c>
      <c r="C42" s="76">
        <v>0.04</v>
      </c>
      <c r="D42" s="91">
        <f t="shared" si="18"/>
        <v>0.62191780821917808</v>
      </c>
      <c r="E42" s="82">
        <f t="shared" si="17"/>
        <v>0.97543016312870368</v>
      </c>
      <c r="F42" s="92"/>
      <c r="G42" s="89"/>
      <c r="H42" s="89"/>
      <c r="I42" s="92"/>
      <c r="J42" s="95"/>
      <c r="K42" s="92"/>
      <c r="L42" s="126" t="s">
        <v>97</v>
      </c>
      <c r="M42" s="127"/>
      <c r="N42" s="100">
        <f>H48-K48</f>
        <v>-2.0279394942481948</v>
      </c>
    </row>
    <row r="43" spans="1:14" ht="18" x14ac:dyDescent="0.35">
      <c r="A43" s="69"/>
      <c r="B43" s="75">
        <v>46109</v>
      </c>
      <c r="C43" s="76">
        <v>4.1000000000000002E-2</v>
      </c>
      <c r="D43" s="91">
        <f t="shared" si="18"/>
        <v>0.86849315068493149</v>
      </c>
      <c r="E43" s="82">
        <f t="shared" si="17"/>
        <v>0.96501829509221437</v>
      </c>
      <c r="F43" s="92"/>
      <c r="G43" s="89"/>
      <c r="H43" s="89"/>
      <c r="I43" s="92"/>
      <c r="J43" s="95"/>
      <c r="K43" s="92"/>
      <c r="L43" s="67"/>
      <c r="M43" s="67"/>
      <c r="N43" s="67"/>
    </row>
    <row r="44" spans="1:14" ht="18" x14ac:dyDescent="0.35">
      <c r="A44" s="69"/>
      <c r="B44" s="75">
        <v>46201</v>
      </c>
      <c r="C44" s="76">
        <v>4.2999999999999997E-2</v>
      </c>
      <c r="D44" s="91">
        <f t="shared" si="18"/>
        <v>1.1205479452054794</v>
      </c>
      <c r="E44" s="82">
        <f t="shared" si="17"/>
        <v>0.95295884432963396</v>
      </c>
      <c r="F44" s="92"/>
      <c r="G44" s="89"/>
      <c r="H44" s="89"/>
      <c r="I44" s="92"/>
      <c r="J44" s="95"/>
      <c r="K44" s="92"/>
      <c r="L44" s="67"/>
      <c r="M44" s="67"/>
      <c r="N44" s="67"/>
    </row>
    <row r="45" spans="1:14" ht="18" x14ac:dyDescent="0.35">
      <c r="A45" s="69"/>
      <c r="B45" s="75">
        <v>46293</v>
      </c>
      <c r="C45" s="77">
        <v>4.7E-2</v>
      </c>
      <c r="D45" s="91">
        <f t="shared" si="18"/>
        <v>1.3726027397260274</v>
      </c>
      <c r="E45" s="82">
        <f t="shared" si="17"/>
        <v>0.93752455566887904</v>
      </c>
      <c r="F45" s="92">
        <f>(B45-B43)/365</f>
        <v>0.50410958904109593</v>
      </c>
      <c r="G45" s="89">
        <f>(E43/E45-1)/F45</f>
        <v>5.81736350544566E-2</v>
      </c>
      <c r="H45" s="89">
        <f>G45*F45*E45*J45</f>
        <v>0.82481218270006229</v>
      </c>
      <c r="I45" s="92">
        <f>F45*E45*J45</f>
        <v>14.178453554225241</v>
      </c>
      <c r="J45" s="95">
        <v>30</v>
      </c>
      <c r="K45" s="92">
        <f>I45*M17</f>
        <v>2.0243506378424292</v>
      </c>
      <c r="L45" s="67"/>
      <c r="M45" s="67"/>
      <c r="N45" s="67"/>
    </row>
    <row r="46" spans="1:14" ht="18" x14ac:dyDescent="0.35">
      <c r="A46" s="69"/>
      <c r="B46" s="75">
        <v>46384</v>
      </c>
      <c r="C46" s="76">
        <v>4.7500000000000001E-2</v>
      </c>
      <c r="D46" s="91">
        <f t="shared" si="18"/>
        <v>1.6219178082191781</v>
      </c>
      <c r="E46" s="82">
        <f t="shared" si="17"/>
        <v>0.92585180412038304</v>
      </c>
      <c r="F46" s="92"/>
      <c r="G46" s="89"/>
      <c r="H46" s="89"/>
      <c r="I46" s="92"/>
      <c r="J46" s="95"/>
      <c r="K46" s="92"/>
      <c r="L46" s="67"/>
      <c r="M46" s="67"/>
      <c r="N46" s="67"/>
    </row>
    <row r="47" spans="1:14" ht="18" x14ac:dyDescent="0.35">
      <c r="A47" s="69"/>
      <c r="B47" s="78">
        <v>46474</v>
      </c>
      <c r="C47" s="79">
        <v>4.8000000000000001E-2</v>
      </c>
      <c r="D47" s="91">
        <f t="shared" si="18"/>
        <v>1.8684931506849316</v>
      </c>
      <c r="E47" s="82">
        <f t="shared" si="17"/>
        <v>0.91421667685285557</v>
      </c>
      <c r="F47" s="92">
        <f>(B47-B45)/365</f>
        <v>0.49589041095890413</v>
      </c>
      <c r="G47" s="89">
        <f>(E45/E47-1)/F47</f>
        <v>5.1412402831311141E-2</v>
      </c>
      <c r="H47" s="89">
        <f>G47*F47*E47*J47</f>
        <v>0.46615757632046861</v>
      </c>
      <c r="I47" s="92">
        <f>F47*E47*J47</f>
        <v>9.0670256718009252</v>
      </c>
      <c r="J47" s="96">
        <v>20</v>
      </c>
      <c r="K47" s="92">
        <f>I47*M17</f>
        <v>1.2945586154262967</v>
      </c>
      <c r="L47" s="67"/>
      <c r="M47" s="67"/>
      <c r="N47" s="67"/>
    </row>
    <row r="48" spans="1:14" ht="18" x14ac:dyDescent="0.35">
      <c r="A48" s="67"/>
      <c r="B48" s="69"/>
      <c r="C48" s="69"/>
      <c r="D48" s="69"/>
      <c r="E48" s="69"/>
      <c r="F48" s="69"/>
      <c r="G48" s="89" t="s">
        <v>90</v>
      </c>
      <c r="H48" s="89">
        <f>SUM(H43:H47)</f>
        <v>1.2909697590205309</v>
      </c>
      <c r="I48" s="89">
        <f>SUM(I43:I47)</f>
        <v>23.245479226026166</v>
      </c>
      <c r="J48" s="90"/>
      <c r="K48" s="89">
        <f>SUM(K43:K47)</f>
        <v>3.3189092532687257</v>
      </c>
      <c r="L48" s="67"/>
      <c r="M48" s="67"/>
      <c r="N48" s="67"/>
    </row>
    <row r="49" spans="1:14" x14ac:dyDescent="0.3">
      <c r="A49" s="67"/>
      <c r="B49" s="69"/>
      <c r="C49" s="69"/>
      <c r="D49" s="69"/>
      <c r="E49" s="69"/>
      <c r="F49" s="69"/>
      <c r="G49" s="69"/>
      <c r="H49" s="69"/>
      <c r="I49" s="67"/>
      <c r="J49" s="67"/>
      <c r="K49" s="67"/>
      <c r="L49" s="67"/>
      <c r="M49" s="67"/>
      <c r="N49" s="67"/>
    </row>
    <row r="50" spans="1:14" x14ac:dyDescent="0.3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14" x14ac:dyDescent="0.3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14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14" x14ac:dyDescent="0.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 spans="1:14" x14ac:dyDescent="0.3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</row>
    <row r="55" spans="1:14" x14ac:dyDescent="0.3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14" x14ac:dyDescent="0.3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14" x14ac:dyDescent="0.3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 spans="1:14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 spans="1:14" x14ac:dyDescent="0.3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pans="1:14" x14ac:dyDescent="0.3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3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 spans="1:14" x14ac:dyDescent="0.3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 spans="1:14" x14ac:dyDescent="0.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 spans="1:14" x14ac:dyDescent="0.3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 spans="1:14" x14ac:dyDescent="0.3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 spans="1:14" x14ac:dyDescent="0.3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 spans="1:14" x14ac:dyDescent="0.3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 spans="1:14" x14ac:dyDescent="0.3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 spans="1:14" x14ac:dyDescent="0.3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 spans="1:14" x14ac:dyDescent="0.3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 spans="1:14" x14ac:dyDescent="0.3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 spans="1:14" x14ac:dyDescent="0.3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4" x14ac:dyDescent="0.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4" x14ac:dyDescent="0.3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4" x14ac:dyDescent="0.3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4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4" x14ac:dyDescent="0.3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4" x14ac:dyDescent="0.3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4" x14ac:dyDescent="0.3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4" x14ac:dyDescent="0.3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1:14" x14ac:dyDescent="0.3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</sheetData>
  <mergeCells count="2">
    <mergeCell ref="L42:M42"/>
    <mergeCell ref="L30:M3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Question 1</vt:lpstr>
      <vt:lpstr>Question 2ac</vt:lpstr>
      <vt:lpstr>Question2b</vt:lpstr>
      <vt:lpstr>Question3ab</vt:lpstr>
      <vt:lpstr>Question3c</vt:lpstr>
      <vt:lpstr>Question4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Clement Bourgin</cp:lastModifiedBy>
  <dcterms:created xsi:type="dcterms:W3CDTF">1996-10-14T23:33:28Z</dcterms:created>
  <dcterms:modified xsi:type="dcterms:W3CDTF">2026-01-30T16:39:42Z</dcterms:modified>
</cp:coreProperties>
</file>
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kravi\Desktop\Working Folder\ReykjavikUniversity\Jan 2026 - April 2026\Midterm Exam\"/>
    </mc:Choice>
  </mc:AlternateContent>
  <xr:revisionPtr revIDLastSave="0" documentId="13_ncr:1_{BCB5CB8F-4FDE-493C-AF3F-505956C85E6D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Question 1" sheetId="1" r:id="rId1"/>
    <sheet name="Question 2a_1" sheetId="3" r:id="rId2"/>
    <sheet name="Question 2a_2" sheetId="9" r:id="rId3"/>
    <sheet name="Question 2a_3" sheetId="10" r:id="rId4"/>
    <sheet name="Question 2b" sheetId="12" r:id="rId5"/>
    <sheet name="Question 2c" sheetId="13" r:id="rId6"/>
    <sheet name="Question 3a" sheetId="6" r:id="rId7"/>
    <sheet name="Question 3b" sheetId="5" r:id="rId8"/>
    <sheet name="Question 3c" sheetId="14" r:id="rId9"/>
    <sheet name="Question 4" sheetId="7" r:id="rId10"/>
    <sheet name="Question 5" sheetId="15" r:id="rId11"/>
  </sheets>
  <definedNames>
    <definedName name="solver_adj" localSheetId="1" hidden="1">'Question 2a_1'!#REF!</definedName>
    <definedName name="solver_adj" localSheetId="2" hidden="1">'Question 2a_2'!#REF!</definedName>
    <definedName name="solver_adj" localSheetId="3" hidden="1">'Question 2a_3'!#REF!</definedName>
    <definedName name="solver_adj" localSheetId="7" hidden="1">'Question 3b'!#REF!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7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7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7" hidden="1">1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itr" localSheetId="7" hidden="1">100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lin" localSheetId="7" hidden="1">2</definedName>
    <definedName name="solver_neg" localSheetId="1" hidden="1">2</definedName>
    <definedName name="solver_neg" localSheetId="2" hidden="1">2</definedName>
    <definedName name="solver_neg" localSheetId="3" hidden="1">2</definedName>
    <definedName name="solver_neg" localSheetId="7" hidden="1">2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7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7" hidden="1">1</definedName>
    <definedName name="solver_opt" localSheetId="1" hidden="1">'Question 2a_1'!#REF!</definedName>
    <definedName name="solver_opt" localSheetId="2" hidden="1">'Question 2a_2'!#REF!</definedName>
    <definedName name="solver_opt" localSheetId="3" hidden="1">'Question 2a_3'!#REF!</definedName>
    <definedName name="solver_opt" localSheetId="7" hidden="1">'Question 3b'!#REF!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7" hidden="1">0.000001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7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7" hidden="1">2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im" localSheetId="7" hidden="1">100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ol" localSheetId="7" hidden="1">0.05</definedName>
    <definedName name="solver_typ" localSheetId="1" hidden="1">3</definedName>
    <definedName name="solver_typ" localSheetId="2" hidden="1">3</definedName>
    <definedName name="solver_typ" localSheetId="3" hidden="1">3</definedName>
    <definedName name="solver_typ" localSheetId="7" hidden="1">3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7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3" l="1"/>
  <c r="M3" i="15"/>
  <c r="E47" i="15"/>
  <c r="E46" i="15"/>
  <c r="G46" i="15" s="1"/>
  <c r="E45" i="15"/>
  <c r="E44" i="15"/>
  <c r="G44" i="15" s="1"/>
  <c r="E43" i="15"/>
  <c r="G43" i="15" s="1"/>
  <c r="E42" i="15"/>
  <c r="G42" i="15" s="1"/>
  <c r="E41" i="15"/>
  <c r="G41" i="15" s="1"/>
  <c r="E40" i="15"/>
  <c r="G40" i="15" s="1"/>
  <c r="D35" i="15"/>
  <c r="D34" i="15"/>
  <c r="D33" i="15"/>
  <c r="D32" i="15"/>
  <c r="D31" i="15"/>
  <c r="D30" i="15"/>
  <c r="D29" i="15"/>
  <c r="D28" i="15"/>
  <c r="F28" i="15" s="1"/>
  <c r="B16" i="15"/>
  <c r="B4" i="15"/>
  <c r="AE138" i="14"/>
  <c r="AE136" i="14"/>
  <c r="AE134" i="14"/>
  <c r="AE132" i="14"/>
  <c r="AE130" i="14"/>
  <c r="AE128" i="14"/>
  <c r="AE126" i="14"/>
  <c r="AE124" i="14"/>
  <c r="AE122" i="14"/>
  <c r="AE120" i="14"/>
  <c r="AE118" i="14"/>
  <c r="AE116" i="14"/>
  <c r="AE114" i="14"/>
  <c r="AE112" i="14"/>
  <c r="AE110" i="14"/>
  <c r="AE108" i="14"/>
  <c r="AE106" i="14"/>
  <c r="AE104" i="14"/>
  <c r="AE102" i="14"/>
  <c r="AE100" i="14"/>
  <c r="AE98" i="14"/>
  <c r="AE96" i="14"/>
  <c r="AE94" i="14"/>
  <c r="AE92" i="14"/>
  <c r="AE90" i="14"/>
  <c r="AE88" i="14"/>
  <c r="AE86" i="14"/>
  <c r="AE84" i="14"/>
  <c r="AE82" i="14"/>
  <c r="AE80" i="14"/>
  <c r="AE78" i="14"/>
  <c r="AL138" i="14"/>
  <c r="AK138" i="14"/>
  <c r="AJ138" i="14"/>
  <c r="AI138" i="14"/>
  <c r="AH138" i="14"/>
  <c r="AG138" i="14"/>
  <c r="AF138" i="14"/>
  <c r="AL136" i="14"/>
  <c r="AK136" i="14"/>
  <c r="AJ136" i="14"/>
  <c r="AI136" i="14"/>
  <c r="AH136" i="14"/>
  <c r="AG136" i="14"/>
  <c r="AF136" i="14"/>
  <c r="AL134" i="14"/>
  <c r="AK134" i="14"/>
  <c r="AJ134" i="14"/>
  <c r="AI134" i="14"/>
  <c r="AH134" i="14"/>
  <c r="AG134" i="14"/>
  <c r="AF134" i="14"/>
  <c r="AL132" i="14"/>
  <c r="AK132" i="14"/>
  <c r="AJ132" i="14"/>
  <c r="AI132" i="14"/>
  <c r="AH132" i="14"/>
  <c r="AG132" i="14"/>
  <c r="AF132" i="14"/>
  <c r="AL130" i="14"/>
  <c r="AK130" i="14"/>
  <c r="AJ130" i="14"/>
  <c r="AI130" i="14"/>
  <c r="AH130" i="14"/>
  <c r="AG130" i="14"/>
  <c r="AF130" i="14"/>
  <c r="AL128" i="14"/>
  <c r="AK128" i="14"/>
  <c r="AJ128" i="14"/>
  <c r="AI128" i="14"/>
  <c r="AH128" i="14"/>
  <c r="AG128" i="14"/>
  <c r="AF128" i="14"/>
  <c r="AL126" i="14"/>
  <c r="AK126" i="14"/>
  <c r="AJ126" i="14"/>
  <c r="AI126" i="14"/>
  <c r="AH126" i="14"/>
  <c r="AG126" i="14"/>
  <c r="AF126" i="14"/>
  <c r="AL124" i="14"/>
  <c r="AK124" i="14"/>
  <c r="AJ124" i="14"/>
  <c r="AI124" i="14"/>
  <c r="AH124" i="14"/>
  <c r="AG124" i="14"/>
  <c r="AF124" i="14"/>
  <c r="AL122" i="14"/>
  <c r="AK122" i="14"/>
  <c r="AJ122" i="14"/>
  <c r="AI122" i="14"/>
  <c r="AH122" i="14"/>
  <c r="AG122" i="14"/>
  <c r="AF122" i="14"/>
  <c r="AL120" i="14"/>
  <c r="AK120" i="14"/>
  <c r="AJ120" i="14"/>
  <c r="AI120" i="14"/>
  <c r="AH120" i="14"/>
  <c r="AG120" i="14"/>
  <c r="AF120" i="14"/>
  <c r="AL118" i="14"/>
  <c r="AK118" i="14"/>
  <c r="AJ118" i="14"/>
  <c r="AI118" i="14"/>
  <c r="AH118" i="14"/>
  <c r="AG118" i="14"/>
  <c r="AF118" i="14"/>
  <c r="AL116" i="14"/>
  <c r="AK116" i="14"/>
  <c r="AJ116" i="14"/>
  <c r="AI116" i="14"/>
  <c r="AH116" i="14"/>
  <c r="AG116" i="14"/>
  <c r="AF116" i="14"/>
  <c r="AL114" i="14"/>
  <c r="AK114" i="14"/>
  <c r="AJ114" i="14"/>
  <c r="AI114" i="14"/>
  <c r="AH114" i="14"/>
  <c r="AG114" i="14"/>
  <c r="AF114" i="14"/>
  <c r="AL112" i="14"/>
  <c r="AK112" i="14"/>
  <c r="AJ112" i="14"/>
  <c r="AI112" i="14"/>
  <c r="AH112" i="14"/>
  <c r="AG112" i="14"/>
  <c r="AF112" i="14"/>
  <c r="AL110" i="14"/>
  <c r="AK110" i="14"/>
  <c r="AJ110" i="14"/>
  <c r="AI110" i="14"/>
  <c r="AH110" i="14"/>
  <c r="AG110" i="14"/>
  <c r="AF110" i="14"/>
  <c r="AL108" i="14"/>
  <c r="AK108" i="14"/>
  <c r="AJ108" i="14"/>
  <c r="AI108" i="14"/>
  <c r="AH108" i="14"/>
  <c r="AG108" i="14"/>
  <c r="AF108" i="14"/>
  <c r="AL106" i="14"/>
  <c r="AK106" i="14"/>
  <c r="AJ106" i="14"/>
  <c r="AI106" i="14"/>
  <c r="AH106" i="14"/>
  <c r="AG106" i="14"/>
  <c r="AF106" i="14"/>
  <c r="AL104" i="14"/>
  <c r="AK104" i="14"/>
  <c r="AJ104" i="14"/>
  <c r="AI104" i="14"/>
  <c r="AH104" i="14"/>
  <c r="AG104" i="14"/>
  <c r="AF104" i="14"/>
  <c r="AL102" i="14"/>
  <c r="AK102" i="14"/>
  <c r="AJ102" i="14"/>
  <c r="AI102" i="14"/>
  <c r="AH102" i="14"/>
  <c r="AG102" i="14"/>
  <c r="AF102" i="14"/>
  <c r="AL100" i="14"/>
  <c r="AK100" i="14"/>
  <c r="AJ100" i="14"/>
  <c r="AI100" i="14"/>
  <c r="AH100" i="14"/>
  <c r="AG100" i="14"/>
  <c r="AF100" i="14"/>
  <c r="AL98" i="14"/>
  <c r="AK98" i="14"/>
  <c r="AJ98" i="14"/>
  <c r="AI98" i="14"/>
  <c r="AH98" i="14"/>
  <c r="AG98" i="14"/>
  <c r="AF98" i="14"/>
  <c r="AL96" i="14"/>
  <c r="AK96" i="14"/>
  <c r="AJ96" i="14"/>
  <c r="AI96" i="14"/>
  <c r="AH96" i="14"/>
  <c r="AG96" i="14"/>
  <c r="AF96" i="14"/>
  <c r="AL94" i="14"/>
  <c r="AK94" i="14"/>
  <c r="AJ94" i="14"/>
  <c r="AI94" i="14"/>
  <c r="AH94" i="14"/>
  <c r="AG94" i="14"/>
  <c r="AF94" i="14"/>
  <c r="AL92" i="14"/>
  <c r="AK92" i="14"/>
  <c r="AJ92" i="14"/>
  <c r="AI92" i="14"/>
  <c r="AH92" i="14"/>
  <c r="AG92" i="14"/>
  <c r="AF92" i="14"/>
  <c r="AL90" i="14"/>
  <c r="AK90" i="14"/>
  <c r="AJ90" i="14"/>
  <c r="AI90" i="14"/>
  <c r="AH90" i="14"/>
  <c r="AG90" i="14"/>
  <c r="AF90" i="14"/>
  <c r="AL88" i="14"/>
  <c r="AK88" i="14"/>
  <c r="AJ88" i="14"/>
  <c r="AI88" i="14"/>
  <c r="AH88" i="14"/>
  <c r="AG88" i="14"/>
  <c r="AF88" i="14"/>
  <c r="AL86" i="14"/>
  <c r="AK86" i="14"/>
  <c r="AJ86" i="14"/>
  <c r="AI86" i="14"/>
  <c r="AH86" i="14"/>
  <c r="AG86" i="14"/>
  <c r="AF86" i="14"/>
  <c r="AL84" i="14"/>
  <c r="AK84" i="14"/>
  <c r="AJ84" i="14"/>
  <c r="AI84" i="14"/>
  <c r="AH84" i="14"/>
  <c r="AG84" i="14"/>
  <c r="AF84" i="14"/>
  <c r="AL82" i="14"/>
  <c r="AK82" i="14"/>
  <c r="AJ82" i="14"/>
  <c r="AI82" i="14"/>
  <c r="AH82" i="14"/>
  <c r="AG82" i="14"/>
  <c r="AF82" i="14"/>
  <c r="AL80" i="14"/>
  <c r="AK80" i="14"/>
  <c r="AJ80" i="14"/>
  <c r="AI80" i="14"/>
  <c r="AH80" i="14"/>
  <c r="AG80" i="14"/>
  <c r="AF80" i="14"/>
  <c r="AR78" i="14"/>
  <c r="AQ78" i="14"/>
  <c r="AP78" i="14"/>
  <c r="AO78" i="14"/>
  <c r="AN78" i="14"/>
  <c r="AM78" i="14"/>
  <c r="AH78" i="14"/>
  <c r="AG78" i="14"/>
  <c r="AL78" i="14"/>
  <c r="AK78" i="14"/>
  <c r="AJ78" i="14"/>
  <c r="AI78" i="14"/>
  <c r="A45" i="14"/>
  <c r="G1" i="14"/>
  <c r="A45" i="12"/>
  <c r="G1" i="12"/>
  <c r="I10" i="1"/>
  <c r="I8" i="1"/>
  <c r="I7" i="1"/>
  <c r="I12" i="1" s="1"/>
  <c r="D9" i="1"/>
  <c r="I9" i="1" s="1"/>
  <c r="G47" i="15" l="1"/>
  <c r="F47" i="15"/>
  <c r="J47" i="15" s="1"/>
  <c r="G45" i="15"/>
  <c r="F45" i="15"/>
  <c r="J45" i="15" s="1"/>
  <c r="F35" i="15"/>
  <c r="E35" i="15"/>
  <c r="I35" i="15" s="1"/>
  <c r="F34" i="15"/>
  <c r="G35" i="15" s="1"/>
  <c r="H35" i="15" s="1"/>
  <c r="E34" i="15"/>
  <c r="I34" i="15" s="1"/>
  <c r="E33" i="15"/>
  <c r="I33" i="15" s="1"/>
  <c r="F33" i="15"/>
  <c r="G34" i="15" s="1"/>
  <c r="H34" i="15" s="1"/>
  <c r="F32" i="15"/>
  <c r="G33" i="15" s="1"/>
  <c r="H33" i="15" s="1"/>
  <c r="E32" i="15"/>
  <c r="I32" i="15" s="1"/>
  <c r="F31" i="15"/>
  <c r="G32" i="15" s="1"/>
  <c r="H32" i="15" s="1"/>
  <c r="E31" i="15"/>
  <c r="F30" i="15"/>
  <c r="G31" i="15" s="1"/>
  <c r="H31" i="15" s="1"/>
  <c r="E30" i="15"/>
  <c r="F29" i="15"/>
  <c r="E29" i="15"/>
  <c r="I29" i="15" s="1"/>
  <c r="B17" i="15"/>
  <c r="E16" i="15"/>
  <c r="G16" i="15" s="1"/>
  <c r="B5" i="15"/>
  <c r="D4" i="15"/>
  <c r="AM138" i="14"/>
  <c r="AN138" i="14" s="1"/>
  <c r="AO138" i="14"/>
  <c r="AP138" i="14"/>
  <c r="AP136" i="14"/>
  <c r="AM136" i="14"/>
  <c r="AM134" i="14"/>
  <c r="AN134" i="14" s="1"/>
  <c r="AP134" i="14"/>
  <c r="AO134" i="14"/>
  <c r="AP132" i="14"/>
  <c r="AM132" i="14"/>
  <c r="AM130" i="14"/>
  <c r="AP130" i="14"/>
  <c r="AP128" i="14"/>
  <c r="AM128" i="14"/>
  <c r="AM126" i="14"/>
  <c r="AP126" i="14"/>
  <c r="AP124" i="14"/>
  <c r="AM124" i="14"/>
  <c r="AP122" i="14"/>
  <c r="AO122" i="14"/>
  <c r="AM122" i="14"/>
  <c r="AN122" i="14" s="1"/>
  <c r="AP120" i="14"/>
  <c r="AQ120" i="14" s="1"/>
  <c r="AM120" i="14"/>
  <c r="AN120" i="14" s="1"/>
  <c r="AR120" i="14"/>
  <c r="AO120" i="14"/>
  <c r="AM118" i="14"/>
  <c r="AP118" i="14"/>
  <c r="AP116" i="14"/>
  <c r="AM116" i="14"/>
  <c r="AP114" i="14"/>
  <c r="AM114" i="14"/>
  <c r="AM112" i="14"/>
  <c r="AP112" i="14"/>
  <c r="AM110" i="14"/>
  <c r="AP110" i="14"/>
  <c r="AP108" i="14"/>
  <c r="AM108" i="14"/>
  <c r="AP106" i="14"/>
  <c r="AM106" i="14"/>
  <c r="AP104" i="14"/>
  <c r="AM104" i="14"/>
  <c r="AP102" i="14"/>
  <c r="AM102" i="14"/>
  <c r="AP100" i="14"/>
  <c r="AM100" i="14"/>
  <c r="AM98" i="14"/>
  <c r="AP98" i="14"/>
  <c r="AP96" i="14"/>
  <c r="AM96" i="14"/>
  <c r="AN96" i="14" s="1"/>
  <c r="AO96" i="14"/>
  <c r="AP94" i="14"/>
  <c r="AM94" i="14"/>
  <c r="AP92" i="14"/>
  <c r="AM92" i="14"/>
  <c r="AM90" i="14"/>
  <c r="AP90" i="14"/>
  <c r="AP88" i="14"/>
  <c r="AM88" i="14"/>
  <c r="AP86" i="14"/>
  <c r="AM86" i="14"/>
  <c r="AM84" i="14"/>
  <c r="AP84" i="14"/>
  <c r="AM82" i="14"/>
  <c r="AP82" i="14"/>
  <c r="AM80" i="14"/>
  <c r="AP80" i="14"/>
  <c r="G2" i="14"/>
  <c r="G2" i="12"/>
  <c r="H45" i="15" l="1"/>
  <c r="I45" i="15" s="1"/>
  <c r="H47" i="15"/>
  <c r="I47" i="15" s="1"/>
  <c r="G29" i="15"/>
  <c r="H29" i="15" s="1"/>
  <c r="G30" i="15"/>
  <c r="H30" i="15" s="1"/>
  <c r="B18" i="15"/>
  <c r="E17" i="15"/>
  <c r="G17" i="15" s="1"/>
  <c r="B6" i="15"/>
  <c r="D5" i="15"/>
  <c r="E4" i="15"/>
  <c r="F4" i="15"/>
  <c r="I30" i="15"/>
  <c r="I31" i="15"/>
  <c r="AQ138" i="14"/>
  <c r="AR138" i="14"/>
  <c r="AQ136" i="14"/>
  <c r="AR136" i="14"/>
  <c r="AN136" i="14"/>
  <c r="AO136" i="14"/>
  <c r="AQ134" i="14"/>
  <c r="AR134" i="14"/>
  <c r="AQ132" i="14"/>
  <c r="AR132" i="14"/>
  <c r="AN132" i="14"/>
  <c r="AO132" i="14"/>
  <c r="AN130" i="14"/>
  <c r="AO130" i="14"/>
  <c r="AQ130" i="14"/>
  <c r="AR130" i="14"/>
  <c r="AQ128" i="14"/>
  <c r="AR128" i="14"/>
  <c r="AN128" i="14"/>
  <c r="AO128" i="14"/>
  <c r="AN126" i="14"/>
  <c r="AO126" i="14"/>
  <c r="AQ126" i="14"/>
  <c r="AR126" i="14"/>
  <c r="AQ124" i="14"/>
  <c r="AR124" i="14"/>
  <c r="AN124" i="14"/>
  <c r="AO124" i="14"/>
  <c r="AQ122" i="14"/>
  <c r="AR122" i="14"/>
  <c r="AN118" i="14"/>
  <c r="AO118" i="14"/>
  <c r="AQ118" i="14"/>
  <c r="AR118" i="14"/>
  <c r="AQ116" i="14"/>
  <c r="AR116" i="14"/>
  <c r="AN116" i="14"/>
  <c r="AO116" i="14"/>
  <c r="AQ114" i="14"/>
  <c r="AR114" i="14"/>
  <c r="AN114" i="14"/>
  <c r="AO114" i="14"/>
  <c r="AN112" i="14"/>
  <c r="AO112" i="14"/>
  <c r="AQ112" i="14"/>
  <c r="AR112" i="14"/>
  <c r="AN110" i="14"/>
  <c r="AO110" i="14"/>
  <c r="AQ110" i="14"/>
  <c r="AR110" i="14"/>
  <c r="AQ108" i="14"/>
  <c r="AR108" i="14"/>
  <c r="AN108" i="14"/>
  <c r="AO108" i="14"/>
  <c r="AQ106" i="14"/>
  <c r="AR106" i="14"/>
  <c r="AN106" i="14"/>
  <c r="AO106" i="14"/>
  <c r="AQ104" i="14"/>
  <c r="AR104" i="14"/>
  <c r="AN104" i="14"/>
  <c r="AO104" i="14"/>
  <c r="AQ102" i="14"/>
  <c r="AR102" i="14"/>
  <c r="AN102" i="14"/>
  <c r="AO102" i="14"/>
  <c r="AQ100" i="14"/>
  <c r="AR100" i="14"/>
  <c r="AN100" i="14"/>
  <c r="AO100" i="14"/>
  <c r="AN98" i="14"/>
  <c r="AO98" i="14"/>
  <c r="AQ98" i="14"/>
  <c r="AR98" i="14"/>
  <c r="AQ96" i="14"/>
  <c r="AR96" i="14"/>
  <c r="AQ94" i="14"/>
  <c r="AR94" i="14"/>
  <c r="AN94" i="14"/>
  <c r="AO94" i="14"/>
  <c r="AQ92" i="14"/>
  <c r="AR92" i="14"/>
  <c r="AN92" i="14"/>
  <c r="AO92" i="14"/>
  <c r="AN90" i="14"/>
  <c r="AO90" i="14"/>
  <c r="AQ90" i="14"/>
  <c r="AR90" i="14"/>
  <c r="AQ88" i="14"/>
  <c r="AR88" i="14"/>
  <c r="AN88" i="14"/>
  <c r="AO88" i="14"/>
  <c r="AQ86" i="14"/>
  <c r="AR86" i="14"/>
  <c r="AN86" i="14"/>
  <c r="AO86" i="14"/>
  <c r="AN84" i="14"/>
  <c r="AO84" i="14"/>
  <c r="AQ84" i="14"/>
  <c r="AR84" i="14"/>
  <c r="AN82" i="14"/>
  <c r="AO82" i="14"/>
  <c r="AQ82" i="14"/>
  <c r="AR82" i="14"/>
  <c r="AN80" i="14"/>
  <c r="AO80" i="14"/>
  <c r="AQ80" i="14"/>
  <c r="AR80" i="14"/>
  <c r="G3" i="14"/>
  <c r="B44" i="14"/>
  <c r="C43" i="14" s="1"/>
  <c r="D42" i="14" s="1"/>
  <c r="E41" i="14" s="1"/>
  <c r="F40" i="14" s="1"/>
  <c r="G39" i="14" s="1"/>
  <c r="H38" i="14" s="1"/>
  <c r="I37" i="14" s="1"/>
  <c r="J36" i="14" s="1"/>
  <c r="K35" i="14" s="1"/>
  <c r="L34" i="14" s="1"/>
  <c r="M33" i="14" s="1"/>
  <c r="N32" i="14" s="1"/>
  <c r="O31" i="14" s="1"/>
  <c r="P30" i="14" s="1"/>
  <c r="Q29" i="14" s="1"/>
  <c r="R28" i="14" s="1"/>
  <c r="S27" i="14" s="1"/>
  <c r="T26" i="14" s="1"/>
  <c r="U25" i="14" s="1"/>
  <c r="V24" i="14" s="1"/>
  <c r="W23" i="14" s="1"/>
  <c r="X22" i="14" s="1"/>
  <c r="Y21" i="14" s="1"/>
  <c r="Z20" i="14" s="1"/>
  <c r="AA19" i="14" s="1"/>
  <c r="AB18" i="14" s="1"/>
  <c r="AC17" i="14" s="1"/>
  <c r="AD16" i="14" s="1"/>
  <c r="AE15" i="14" s="1"/>
  <c r="G3" i="12"/>
  <c r="B44" i="12"/>
  <c r="C43" i="12" s="1"/>
  <c r="D42" i="12" s="1"/>
  <c r="E41" i="12" s="1"/>
  <c r="F40" i="12" s="1"/>
  <c r="G39" i="12" s="1"/>
  <c r="H38" i="12" s="1"/>
  <c r="I37" i="12" s="1"/>
  <c r="J36" i="12" s="1"/>
  <c r="K35" i="12" s="1"/>
  <c r="L34" i="12" s="1"/>
  <c r="M33" i="12" s="1"/>
  <c r="N32" i="12" s="1"/>
  <c r="O31" i="12" s="1"/>
  <c r="P30" i="12" s="1"/>
  <c r="Q29" i="12" s="1"/>
  <c r="R28" i="12" s="1"/>
  <c r="S27" i="12" s="1"/>
  <c r="T26" i="12" s="1"/>
  <c r="U25" i="12" s="1"/>
  <c r="V24" i="12" s="1"/>
  <c r="W23" i="12" s="1"/>
  <c r="X22" i="12" s="1"/>
  <c r="Y21" i="12" s="1"/>
  <c r="Z20" i="12" s="1"/>
  <c r="AA19" i="12" s="1"/>
  <c r="AB18" i="12" s="1"/>
  <c r="AC17" i="12" s="1"/>
  <c r="AD16" i="12" s="1"/>
  <c r="AE15" i="12" s="1"/>
  <c r="AE78" i="12" s="1"/>
  <c r="B19" i="15" l="1"/>
  <c r="E18" i="15"/>
  <c r="G18" i="15" s="1"/>
  <c r="B7" i="15"/>
  <c r="D6" i="15"/>
  <c r="F5" i="15"/>
  <c r="E5" i="15"/>
  <c r="I5" i="15" s="1"/>
  <c r="I4" i="15"/>
  <c r="E28" i="15"/>
  <c r="G4" i="15"/>
  <c r="G5" i="15"/>
  <c r="H5" i="15" s="1"/>
  <c r="N40" i="15"/>
  <c r="M27" i="15"/>
  <c r="AF78" i="14"/>
  <c r="G4" i="14"/>
  <c r="B46" i="14"/>
  <c r="G4" i="12"/>
  <c r="B46" i="12"/>
  <c r="E19" i="15" l="1"/>
  <c r="G19" i="15" s="1"/>
  <c r="B20" i="15"/>
  <c r="D7" i="15"/>
  <c r="B8" i="15"/>
  <c r="F6" i="15"/>
  <c r="E6" i="15"/>
  <c r="I6" i="15" s="1"/>
  <c r="H4" i="15"/>
  <c r="G28" i="15"/>
  <c r="C45" i="14"/>
  <c r="D44" i="14" s="1"/>
  <c r="E43" i="14" s="1"/>
  <c r="F42" i="14" s="1"/>
  <c r="G41" i="14" s="1"/>
  <c r="H40" i="14" s="1"/>
  <c r="I39" i="14" s="1"/>
  <c r="J38" i="14" s="1"/>
  <c r="K37" i="14" s="1"/>
  <c r="L36" i="14" s="1"/>
  <c r="M35" i="14" s="1"/>
  <c r="N34" i="14" s="1"/>
  <c r="O33" i="14" s="1"/>
  <c r="P32" i="14" s="1"/>
  <c r="Q31" i="14" s="1"/>
  <c r="R30" i="14" s="1"/>
  <c r="S29" i="14" s="1"/>
  <c r="T28" i="14" s="1"/>
  <c r="U27" i="14" s="1"/>
  <c r="V26" i="14" s="1"/>
  <c r="W25" i="14" s="1"/>
  <c r="X24" i="14" s="1"/>
  <c r="Y23" i="14" s="1"/>
  <c r="Z22" i="14" s="1"/>
  <c r="AA21" i="14" s="1"/>
  <c r="AB20" i="14" s="1"/>
  <c r="AC19" i="14" s="1"/>
  <c r="AD18" i="14" s="1"/>
  <c r="AE17" i="14" s="1"/>
  <c r="C47" i="14"/>
  <c r="C45" i="12"/>
  <c r="D44" i="12" s="1"/>
  <c r="E43" i="12" s="1"/>
  <c r="F42" i="12" s="1"/>
  <c r="G41" i="12" s="1"/>
  <c r="H40" i="12" s="1"/>
  <c r="I39" i="12" s="1"/>
  <c r="J38" i="12" s="1"/>
  <c r="K37" i="12" s="1"/>
  <c r="L36" i="12" s="1"/>
  <c r="M35" i="12" s="1"/>
  <c r="N34" i="12" s="1"/>
  <c r="O33" i="12" s="1"/>
  <c r="P32" i="12" s="1"/>
  <c r="Q31" i="12" s="1"/>
  <c r="R30" i="12" s="1"/>
  <c r="S29" i="12" s="1"/>
  <c r="T28" i="12" s="1"/>
  <c r="U27" i="12" s="1"/>
  <c r="V26" i="12" s="1"/>
  <c r="W25" i="12" s="1"/>
  <c r="X24" i="12" s="1"/>
  <c r="Y23" i="12" s="1"/>
  <c r="Z22" i="12" s="1"/>
  <c r="AA21" i="12" s="1"/>
  <c r="AB20" i="12" s="1"/>
  <c r="AC19" i="12" s="1"/>
  <c r="AD18" i="12" s="1"/>
  <c r="AE17" i="12" s="1"/>
  <c r="AE80" i="12" s="1"/>
  <c r="C47" i="12"/>
  <c r="E20" i="15" l="1"/>
  <c r="G20" i="15" s="1"/>
  <c r="B21" i="15"/>
  <c r="F7" i="15"/>
  <c r="G7" i="15" s="1"/>
  <c r="H7" i="15" s="1"/>
  <c r="E7" i="15"/>
  <c r="I7" i="15" s="1"/>
  <c r="D8" i="15"/>
  <c r="B9" i="15"/>
  <c r="G6" i="15"/>
  <c r="H6" i="15" s="1"/>
  <c r="D46" i="14"/>
  <c r="E45" i="14" s="1"/>
  <c r="F44" i="14" s="1"/>
  <c r="G43" i="14" s="1"/>
  <c r="H42" i="14" s="1"/>
  <c r="I41" i="14" s="1"/>
  <c r="J40" i="14" s="1"/>
  <c r="K39" i="14" s="1"/>
  <c r="L38" i="14" s="1"/>
  <c r="M37" i="14" s="1"/>
  <c r="N36" i="14" s="1"/>
  <c r="O35" i="14" s="1"/>
  <c r="P34" i="14" s="1"/>
  <c r="Q33" i="14" s="1"/>
  <c r="R32" i="14" s="1"/>
  <c r="S31" i="14" s="1"/>
  <c r="T30" i="14" s="1"/>
  <c r="U29" i="14" s="1"/>
  <c r="V28" i="14" s="1"/>
  <c r="W27" i="14" s="1"/>
  <c r="X26" i="14" s="1"/>
  <c r="Y25" i="14" s="1"/>
  <c r="Z24" i="14" s="1"/>
  <c r="AA23" i="14" s="1"/>
  <c r="AB22" i="14" s="1"/>
  <c r="AC21" i="14" s="1"/>
  <c r="AD20" i="14" s="1"/>
  <c r="AE19" i="14" s="1"/>
  <c r="AD81" i="14" s="1"/>
  <c r="D48" i="14"/>
  <c r="AD79" i="14"/>
  <c r="D46" i="12"/>
  <c r="E45" i="12" s="1"/>
  <c r="F44" i="12" s="1"/>
  <c r="G43" i="12" s="1"/>
  <c r="H42" i="12" s="1"/>
  <c r="I41" i="12" s="1"/>
  <c r="J40" i="12" s="1"/>
  <c r="K39" i="12" s="1"/>
  <c r="L38" i="12" s="1"/>
  <c r="M37" i="12" s="1"/>
  <c r="N36" i="12" s="1"/>
  <c r="O35" i="12" s="1"/>
  <c r="P34" i="12" s="1"/>
  <c r="Q33" i="12" s="1"/>
  <c r="R32" i="12" s="1"/>
  <c r="S31" i="12" s="1"/>
  <c r="T30" i="12" s="1"/>
  <c r="U29" i="12" s="1"/>
  <c r="V28" i="12" s="1"/>
  <c r="W27" i="12" s="1"/>
  <c r="X26" i="12" s="1"/>
  <c r="Y25" i="12" s="1"/>
  <c r="Z24" i="12" s="1"/>
  <c r="AA23" i="12" s="1"/>
  <c r="AB22" i="12" s="1"/>
  <c r="AC21" i="12" s="1"/>
  <c r="AD20" i="12" s="1"/>
  <c r="AE19" i="12" s="1"/>
  <c r="AE82" i="12" s="1"/>
  <c r="AD81" i="12" s="1"/>
  <c r="D48" i="12"/>
  <c r="AD79" i="12"/>
  <c r="B22" i="15" l="1"/>
  <c r="E21" i="15"/>
  <c r="F8" i="15"/>
  <c r="E8" i="15"/>
  <c r="I8" i="15" s="1"/>
  <c r="D9" i="15"/>
  <c r="B10" i="15"/>
  <c r="E47" i="14"/>
  <c r="F46" i="14" s="1"/>
  <c r="G45" i="14" s="1"/>
  <c r="H44" i="14" s="1"/>
  <c r="I43" i="14" s="1"/>
  <c r="J42" i="14" s="1"/>
  <c r="K41" i="14" s="1"/>
  <c r="L40" i="14" s="1"/>
  <c r="M39" i="14" s="1"/>
  <c r="N38" i="14" s="1"/>
  <c r="O37" i="14" s="1"/>
  <c r="P36" i="14" s="1"/>
  <c r="Q35" i="14" s="1"/>
  <c r="R34" i="14" s="1"/>
  <c r="S33" i="14" s="1"/>
  <c r="T32" i="14" s="1"/>
  <c r="U31" i="14" s="1"/>
  <c r="V30" i="14" s="1"/>
  <c r="W29" i="14" s="1"/>
  <c r="X28" i="14" s="1"/>
  <c r="Y27" i="14" s="1"/>
  <c r="Z26" i="14" s="1"/>
  <c r="AA25" i="14" s="1"/>
  <c r="AB24" i="14" s="1"/>
  <c r="AC23" i="14" s="1"/>
  <c r="AD22" i="14" s="1"/>
  <c r="AE21" i="14" s="1"/>
  <c r="E49" i="14"/>
  <c r="AC80" i="14"/>
  <c r="E47" i="12"/>
  <c r="F46" i="12" s="1"/>
  <c r="G45" i="12" s="1"/>
  <c r="H44" i="12" s="1"/>
  <c r="I43" i="12" s="1"/>
  <c r="J42" i="12" s="1"/>
  <c r="K41" i="12" s="1"/>
  <c r="L40" i="12" s="1"/>
  <c r="M39" i="12" s="1"/>
  <c r="N38" i="12" s="1"/>
  <c r="O37" i="12" s="1"/>
  <c r="P36" i="12" s="1"/>
  <c r="Q35" i="12" s="1"/>
  <c r="R34" i="12" s="1"/>
  <c r="S33" i="12" s="1"/>
  <c r="T32" i="12" s="1"/>
  <c r="U31" i="12" s="1"/>
  <c r="V30" i="12" s="1"/>
  <c r="W29" i="12" s="1"/>
  <c r="X28" i="12" s="1"/>
  <c r="Y27" i="12" s="1"/>
  <c r="Z26" i="12" s="1"/>
  <c r="AA25" i="12" s="1"/>
  <c r="AB24" i="12" s="1"/>
  <c r="AC23" i="12" s="1"/>
  <c r="AD22" i="12" s="1"/>
  <c r="AE21" i="12" s="1"/>
  <c r="AE84" i="12" s="1"/>
  <c r="E49" i="12"/>
  <c r="AC80" i="12"/>
  <c r="E22" i="15" l="1"/>
  <c r="G22" i="15" s="1"/>
  <c r="B23" i="15"/>
  <c r="E23" i="15" s="1"/>
  <c r="G21" i="15"/>
  <c r="F21" i="15"/>
  <c r="G8" i="15"/>
  <c r="H8" i="15" s="1"/>
  <c r="F9" i="15"/>
  <c r="G9" i="15" s="1"/>
  <c r="H9" i="15" s="1"/>
  <c r="E9" i="15"/>
  <c r="I9" i="15" s="1"/>
  <c r="D10" i="15"/>
  <c r="B11" i="15"/>
  <c r="D11" i="15" s="1"/>
  <c r="AD83" i="14"/>
  <c r="F48" i="14"/>
  <c r="G47" i="14" s="1"/>
  <c r="H46" i="14" s="1"/>
  <c r="I45" i="14" s="1"/>
  <c r="J44" i="14" s="1"/>
  <c r="K43" i="14" s="1"/>
  <c r="L42" i="14" s="1"/>
  <c r="M41" i="14" s="1"/>
  <c r="N40" i="14" s="1"/>
  <c r="O39" i="14" s="1"/>
  <c r="P38" i="14" s="1"/>
  <c r="Q37" i="14" s="1"/>
  <c r="R36" i="14" s="1"/>
  <c r="S35" i="14" s="1"/>
  <c r="T34" i="14" s="1"/>
  <c r="U33" i="14" s="1"/>
  <c r="V32" i="14" s="1"/>
  <c r="W31" i="14" s="1"/>
  <c r="X30" i="14" s="1"/>
  <c r="Y29" i="14" s="1"/>
  <c r="Z28" i="14" s="1"/>
  <c r="AA27" i="14" s="1"/>
  <c r="AB26" i="14" s="1"/>
  <c r="AC25" i="14" s="1"/>
  <c r="AD24" i="14" s="1"/>
  <c r="AE23" i="14" s="1"/>
  <c r="AD85" i="14" s="1"/>
  <c r="F50" i="14"/>
  <c r="AD83" i="12"/>
  <c r="F48" i="12"/>
  <c r="G47" i="12" s="1"/>
  <c r="H46" i="12" s="1"/>
  <c r="I45" i="12" s="1"/>
  <c r="J44" i="12" s="1"/>
  <c r="K43" i="12" s="1"/>
  <c r="L42" i="12" s="1"/>
  <c r="M41" i="12" s="1"/>
  <c r="N40" i="12" s="1"/>
  <c r="O39" i="12" s="1"/>
  <c r="P38" i="12" s="1"/>
  <c r="Q37" i="12" s="1"/>
  <c r="R36" i="12" s="1"/>
  <c r="S35" i="12" s="1"/>
  <c r="T34" i="12" s="1"/>
  <c r="U33" i="12" s="1"/>
  <c r="V32" i="12" s="1"/>
  <c r="W31" i="12" s="1"/>
  <c r="X30" i="12" s="1"/>
  <c r="Y29" i="12" s="1"/>
  <c r="Z28" i="12" s="1"/>
  <c r="AA27" i="12" s="1"/>
  <c r="AB26" i="12" s="1"/>
  <c r="AC25" i="12" s="1"/>
  <c r="AD24" i="12" s="1"/>
  <c r="AE23" i="12" s="1"/>
  <c r="AE86" i="12" s="1"/>
  <c r="AD85" i="12" s="1"/>
  <c r="F50" i="12"/>
  <c r="G23" i="15" l="1"/>
  <c r="F23" i="15"/>
  <c r="J23" i="15" s="1"/>
  <c r="H21" i="15"/>
  <c r="I21" i="15" s="1"/>
  <c r="H23" i="15"/>
  <c r="I23" i="15" s="1"/>
  <c r="E10" i="15"/>
  <c r="F10" i="15"/>
  <c r="E11" i="15"/>
  <c r="F11" i="15"/>
  <c r="J21" i="15"/>
  <c r="AC82" i="14"/>
  <c r="AC84" i="14"/>
  <c r="G49" i="14"/>
  <c r="H48" i="14" s="1"/>
  <c r="I47" i="14" s="1"/>
  <c r="J46" i="14" s="1"/>
  <c r="K45" i="14" s="1"/>
  <c r="L44" i="14" s="1"/>
  <c r="M43" i="14" s="1"/>
  <c r="N42" i="14" s="1"/>
  <c r="O41" i="14" s="1"/>
  <c r="P40" i="14" s="1"/>
  <c r="Q39" i="14" s="1"/>
  <c r="R38" i="14" s="1"/>
  <c r="S37" i="14" s="1"/>
  <c r="T36" i="14" s="1"/>
  <c r="U35" i="14" s="1"/>
  <c r="V34" i="14" s="1"/>
  <c r="W33" i="14" s="1"/>
  <c r="X32" i="14" s="1"/>
  <c r="Y31" i="14" s="1"/>
  <c r="Z30" i="14" s="1"/>
  <c r="AA29" i="14" s="1"/>
  <c r="AB28" i="14" s="1"/>
  <c r="AC27" i="14" s="1"/>
  <c r="AD26" i="14" s="1"/>
  <c r="AE25" i="14" s="1"/>
  <c r="G51" i="14"/>
  <c r="AC82" i="12"/>
  <c r="AC84" i="12"/>
  <c r="G49" i="12"/>
  <c r="H48" i="12" s="1"/>
  <c r="I47" i="12" s="1"/>
  <c r="J46" i="12" s="1"/>
  <c r="K45" i="12" s="1"/>
  <c r="L44" i="12" s="1"/>
  <c r="M43" i="12" s="1"/>
  <c r="N42" i="12" s="1"/>
  <c r="O41" i="12" s="1"/>
  <c r="P40" i="12" s="1"/>
  <c r="Q39" i="12" s="1"/>
  <c r="R38" i="12" s="1"/>
  <c r="S37" i="12" s="1"/>
  <c r="T36" i="12" s="1"/>
  <c r="U35" i="12" s="1"/>
  <c r="V34" i="12" s="1"/>
  <c r="W33" i="12" s="1"/>
  <c r="X32" i="12" s="1"/>
  <c r="Y31" i="12" s="1"/>
  <c r="Z30" i="12" s="1"/>
  <c r="AA29" i="12" s="1"/>
  <c r="AB28" i="12" s="1"/>
  <c r="AC27" i="12" s="1"/>
  <c r="AD26" i="12" s="1"/>
  <c r="AE25" i="12" s="1"/>
  <c r="AE88" i="12" s="1"/>
  <c r="G51" i="12"/>
  <c r="G10" i="15" l="1"/>
  <c r="H10" i="15" s="1"/>
  <c r="G11" i="15"/>
  <c r="H11" i="15" s="1"/>
  <c r="M15" i="15"/>
  <c r="N39" i="15" s="1"/>
  <c r="I10" i="15"/>
  <c r="I11" i="15"/>
  <c r="AB81" i="14"/>
  <c r="AB83" i="14"/>
  <c r="AD87" i="14"/>
  <c r="H50" i="14"/>
  <c r="I49" i="14" s="1"/>
  <c r="J48" i="14" s="1"/>
  <c r="K47" i="14" s="1"/>
  <c r="L46" i="14" s="1"/>
  <c r="M45" i="14" s="1"/>
  <c r="N44" i="14" s="1"/>
  <c r="O43" i="14" s="1"/>
  <c r="P42" i="14" s="1"/>
  <c r="Q41" i="14" s="1"/>
  <c r="R40" i="14" s="1"/>
  <c r="S39" i="14" s="1"/>
  <c r="T38" i="14" s="1"/>
  <c r="U37" i="14" s="1"/>
  <c r="V36" i="14" s="1"/>
  <c r="W35" i="14" s="1"/>
  <c r="X34" i="14" s="1"/>
  <c r="Y33" i="14" s="1"/>
  <c r="Z32" i="14" s="1"/>
  <c r="AA31" i="14" s="1"/>
  <c r="AB30" i="14" s="1"/>
  <c r="AC29" i="14" s="1"/>
  <c r="AD28" i="14" s="1"/>
  <c r="AE27" i="14" s="1"/>
  <c r="AD89" i="14" s="1"/>
  <c r="H52" i="14"/>
  <c r="AB81" i="12"/>
  <c r="AB83" i="12"/>
  <c r="AD87" i="12"/>
  <c r="H50" i="12"/>
  <c r="I49" i="12" s="1"/>
  <c r="J48" i="12" s="1"/>
  <c r="K47" i="12" s="1"/>
  <c r="L46" i="12" s="1"/>
  <c r="M45" i="12" s="1"/>
  <c r="N44" i="12" s="1"/>
  <c r="O43" i="12" s="1"/>
  <c r="P42" i="12" s="1"/>
  <c r="Q41" i="12" s="1"/>
  <c r="R40" i="12" s="1"/>
  <c r="S39" i="12" s="1"/>
  <c r="T38" i="12" s="1"/>
  <c r="U37" i="12" s="1"/>
  <c r="V36" i="12" s="1"/>
  <c r="W35" i="12" s="1"/>
  <c r="X34" i="12" s="1"/>
  <c r="Y33" i="12" s="1"/>
  <c r="Z32" i="12" s="1"/>
  <c r="AA31" i="12" s="1"/>
  <c r="AB30" i="12" s="1"/>
  <c r="AC29" i="12" s="1"/>
  <c r="AD28" i="12" s="1"/>
  <c r="AE27" i="12" s="1"/>
  <c r="AE90" i="12" s="1"/>
  <c r="AD89" i="12" s="1"/>
  <c r="H52" i="12"/>
  <c r="K45" i="15" l="1"/>
  <c r="N41" i="15" s="1"/>
  <c r="K47" i="15"/>
  <c r="M2" i="15"/>
  <c r="M26" i="15" s="1"/>
  <c r="AA82" i="14"/>
  <c r="AC86" i="14"/>
  <c r="AC88" i="14"/>
  <c r="I51" i="14"/>
  <c r="J50" i="14" s="1"/>
  <c r="K49" i="14" s="1"/>
  <c r="L48" i="14" s="1"/>
  <c r="M47" i="14" s="1"/>
  <c r="N46" i="14" s="1"/>
  <c r="O45" i="14" s="1"/>
  <c r="P44" i="14" s="1"/>
  <c r="Q43" i="14" s="1"/>
  <c r="R42" i="14" s="1"/>
  <c r="S41" i="14" s="1"/>
  <c r="T40" i="14" s="1"/>
  <c r="U39" i="14" s="1"/>
  <c r="V38" i="14" s="1"/>
  <c r="W37" i="14" s="1"/>
  <c r="X36" i="14" s="1"/>
  <c r="Y35" i="14" s="1"/>
  <c r="Z34" i="14" s="1"/>
  <c r="AA33" i="14" s="1"/>
  <c r="AB32" i="14" s="1"/>
  <c r="AC31" i="14" s="1"/>
  <c r="AD30" i="14" s="1"/>
  <c r="AE29" i="14" s="1"/>
  <c r="I53" i="14"/>
  <c r="AC86" i="12"/>
  <c r="AC88" i="12"/>
  <c r="I51" i="12"/>
  <c r="J50" i="12" s="1"/>
  <c r="K49" i="12" s="1"/>
  <c r="L48" i="12" s="1"/>
  <c r="M47" i="12" s="1"/>
  <c r="N46" i="12" s="1"/>
  <c r="O45" i="12" s="1"/>
  <c r="P44" i="12" s="1"/>
  <c r="Q43" i="12" s="1"/>
  <c r="R42" i="12" s="1"/>
  <c r="S41" i="12" s="1"/>
  <c r="T40" i="12" s="1"/>
  <c r="U39" i="12" s="1"/>
  <c r="V38" i="12" s="1"/>
  <c r="W37" i="12" s="1"/>
  <c r="X36" i="12" s="1"/>
  <c r="Y35" i="12" s="1"/>
  <c r="Z34" i="12" s="1"/>
  <c r="AA33" i="12" s="1"/>
  <c r="AB32" i="12" s="1"/>
  <c r="AC31" i="12" s="1"/>
  <c r="AD30" i="12" s="1"/>
  <c r="AE29" i="12" s="1"/>
  <c r="AE92" i="12" s="1"/>
  <c r="I53" i="12"/>
  <c r="AA82" i="12"/>
  <c r="J30" i="15" l="1"/>
  <c r="J31" i="15"/>
  <c r="J35" i="15"/>
  <c r="J34" i="15"/>
  <c r="J29" i="15"/>
  <c r="J32" i="15"/>
  <c r="J33" i="15"/>
  <c r="J28" i="15"/>
  <c r="M28" i="15" s="1"/>
  <c r="AB85" i="14"/>
  <c r="AB87" i="14"/>
  <c r="AD91" i="14"/>
  <c r="J52" i="14"/>
  <c r="K51" i="14" s="1"/>
  <c r="L50" i="14" s="1"/>
  <c r="M49" i="14" s="1"/>
  <c r="N48" i="14" s="1"/>
  <c r="O47" i="14" s="1"/>
  <c r="P46" i="14" s="1"/>
  <c r="Q45" i="14" s="1"/>
  <c r="R44" i="14" s="1"/>
  <c r="S43" i="14" s="1"/>
  <c r="T42" i="14" s="1"/>
  <c r="U41" i="14" s="1"/>
  <c r="V40" i="14" s="1"/>
  <c r="W39" i="14" s="1"/>
  <c r="X38" i="14" s="1"/>
  <c r="Y37" i="14" s="1"/>
  <c r="Z36" i="14" s="1"/>
  <c r="AA35" i="14" s="1"/>
  <c r="AB34" i="14" s="1"/>
  <c r="AC33" i="14" s="1"/>
  <c r="AD32" i="14" s="1"/>
  <c r="AE31" i="14" s="1"/>
  <c r="AD93" i="14" s="1"/>
  <c r="J54" i="14"/>
  <c r="AB85" i="12"/>
  <c r="AB87" i="12"/>
  <c r="AD91" i="12"/>
  <c r="J52" i="12"/>
  <c r="K51" i="12" s="1"/>
  <c r="L50" i="12" s="1"/>
  <c r="M49" i="12" s="1"/>
  <c r="N48" i="12" s="1"/>
  <c r="O47" i="12" s="1"/>
  <c r="P46" i="12" s="1"/>
  <c r="Q45" i="12" s="1"/>
  <c r="R44" i="12" s="1"/>
  <c r="S43" i="12" s="1"/>
  <c r="T42" i="12" s="1"/>
  <c r="U41" i="12" s="1"/>
  <c r="V40" i="12" s="1"/>
  <c r="W39" i="12" s="1"/>
  <c r="X38" i="12" s="1"/>
  <c r="Y37" i="12" s="1"/>
  <c r="Z36" i="12" s="1"/>
  <c r="AA35" i="12" s="1"/>
  <c r="AB34" i="12" s="1"/>
  <c r="AC33" i="12" s="1"/>
  <c r="AD32" i="12" s="1"/>
  <c r="AE31" i="12" s="1"/>
  <c r="AE94" i="12" s="1"/>
  <c r="AD93" i="12" s="1"/>
  <c r="J54" i="12"/>
  <c r="AA84" i="14" l="1"/>
  <c r="AA86" i="14"/>
  <c r="AC90" i="14"/>
  <c r="AC92" i="14"/>
  <c r="K53" i="14"/>
  <c r="L52" i="14" s="1"/>
  <c r="M51" i="14" s="1"/>
  <c r="N50" i="14" s="1"/>
  <c r="O49" i="14" s="1"/>
  <c r="P48" i="14" s="1"/>
  <c r="Q47" i="14" s="1"/>
  <c r="R46" i="14" s="1"/>
  <c r="S45" i="14" s="1"/>
  <c r="T44" i="14" s="1"/>
  <c r="U43" i="14" s="1"/>
  <c r="V42" i="14" s="1"/>
  <c r="W41" i="14" s="1"/>
  <c r="X40" i="14" s="1"/>
  <c r="Y39" i="14" s="1"/>
  <c r="Z38" i="14" s="1"/>
  <c r="AA37" i="14" s="1"/>
  <c r="AB36" i="14" s="1"/>
  <c r="AC35" i="14" s="1"/>
  <c r="AD34" i="14" s="1"/>
  <c r="AE33" i="14" s="1"/>
  <c r="K55" i="14"/>
  <c r="AA84" i="12"/>
  <c r="AA86" i="12"/>
  <c r="AC90" i="12"/>
  <c r="AC92" i="12"/>
  <c r="K53" i="12"/>
  <c r="L52" i="12" s="1"/>
  <c r="M51" i="12" s="1"/>
  <c r="N50" i="12" s="1"/>
  <c r="O49" i="12" s="1"/>
  <c r="P48" i="12" s="1"/>
  <c r="Q47" i="12" s="1"/>
  <c r="R46" i="12" s="1"/>
  <c r="S45" i="12" s="1"/>
  <c r="T44" i="12" s="1"/>
  <c r="U43" i="12" s="1"/>
  <c r="V42" i="12" s="1"/>
  <c r="W41" i="12" s="1"/>
  <c r="X40" i="12" s="1"/>
  <c r="Y39" i="12" s="1"/>
  <c r="Z38" i="12" s="1"/>
  <c r="AA37" i="12" s="1"/>
  <c r="AB36" i="12" s="1"/>
  <c r="AC35" i="12" s="1"/>
  <c r="AD34" i="12" s="1"/>
  <c r="AE33" i="12" s="1"/>
  <c r="AE96" i="12" s="1"/>
  <c r="K55" i="12"/>
  <c r="Z83" i="14" l="1"/>
  <c r="Z85" i="14"/>
  <c r="AB89" i="14"/>
  <c r="AB91" i="14"/>
  <c r="AD95" i="14"/>
  <c r="L54" i="14"/>
  <c r="M53" i="14" s="1"/>
  <c r="N52" i="14" s="1"/>
  <c r="O51" i="14" s="1"/>
  <c r="P50" i="14" s="1"/>
  <c r="Q49" i="14" s="1"/>
  <c r="R48" i="14" s="1"/>
  <c r="S47" i="14" s="1"/>
  <c r="T46" i="14" s="1"/>
  <c r="U45" i="14" s="1"/>
  <c r="V44" i="14" s="1"/>
  <c r="W43" i="14" s="1"/>
  <c r="X42" i="14" s="1"/>
  <c r="Y41" i="14" s="1"/>
  <c r="Z40" i="14" s="1"/>
  <c r="AA39" i="14" s="1"/>
  <c r="AB38" i="14" s="1"/>
  <c r="AC37" i="14" s="1"/>
  <c r="AD36" i="14" s="1"/>
  <c r="AE35" i="14" s="1"/>
  <c r="AD97" i="14" s="1"/>
  <c r="L56" i="14"/>
  <c r="Z83" i="12"/>
  <c r="Z85" i="12"/>
  <c r="AB89" i="12"/>
  <c r="AB91" i="12"/>
  <c r="AD95" i="12"/>
  <c r="L54" i="12"/>
  <c r="M53" i="12" s="1"/>
  <c r="N52" i="12" s="1"/>
  <c r="O51" i="12" s="1"/>
  <c r="P50" i="12" s="1"/>
  <c r="Q49" i="12" s="1"/>
  <c r="R48" i="12" s="1"/>
  <c r="S47" i="12" s="1"/>
  <c r="T46" i="12" s="1"/>
  <c r="U45" i="12" s="1"/>
  <c r="V44" i="12" s="1"/>
  <c r="W43" i="12" s="1"/>
  <c r="X42" i="12" s="1"/>
  <c r="Y41" i="12" s="1"/>
  <c r="Z40" i="12" s="1"/>
  <c r="AA39" i="12" s="1"/>
  <c r="AB38" i="12" s="1"/>
  <c r="AC37" i="12" s="1"/>
  <c r="AD36" i="12" s="1"/>
  <c r="AE35" i="12" s="1"/>
  <c r="AE98" i="12" s="1"/>
  <c r="AD97" i="12" s="1"/>
  <c r="L56" i="12"/>
  <c r="AA88" i="14" l="1"/>
  <c r="AA90" i="14"/>
  <c r="AC94" i="14"/>
  <c r="AC96" i="14"/>
  <c r="M55" i="14"/>
  <c r="N54" i="14" s="1"/>
  <c r="O53" i="14" s="1"/>
  <c r="P52" i="14" s="1"/>
  <c r="Q51" i="14" s="1"/>
  <c r="R50" i="14" s="1"/>
  <c r="S49" i="14" s="1"/>
  <c r="T48" i="14" s="1"/>
  <c r="U47" i="14" s="1"/>
  <c r="V46" i="14" s="1"/>
  <c r="W45" i="14" s="1"/>
  <c r="X44" i="14" s="1"/>
  <c r="Y43" i="14" s="1"/>
  <c r="Z42" i="14" s="1"/>
  <c r="AA41" i="14" s="1"/>
  <c r="AB40" i="14" s="1"/>
  <c r="AC39" i="14" s="1"/>
  <c r="AD38" i="14" s="1"/>
  <c r="AE37" i="14" s="1"/>
  <c r="M57" i="14"/>
  <c r="Y84" i="14"/>
  <c r="AA88" i="12"/>
  <c r="AA90" i="12"/>
  <c r="AC94" i="12"/>
  <c r="AC96" i="12"/>
  <c r="M55" i="12"/>
  <c r="N54" i="12" s="1"/>
  <c r="O53" i="12" s="1"/>
  <c r="P52" i="12" s="1"/>
  <c r="Q51" i="12" s="1"/>
  <c r="R50" i="12" s="1"/>
  <c r="S49" i="12" s="1"/>
  <c r="T48" i="12" s="1"/>
  <c r="U47" i="12" s="1"/>
  <c r="V46" i="12" s="1"/>
  <c r="W45" i="12" s="1"/>
  <c r="X44" i="12" s="1"/>
  <c r="Y43" i="12" s="1"/>
  <c r="Z42" i="12" s="1"/>
  <c r="AA41" i="12" s="1"/>
  <c r="AB40" i="12" s="1"/>
  <c r="AC39" i="12" s="1"/>
  <c r="AD38" i="12" s="1"/>
  <c r="AE37" i="12" s="1"/>
  <c r="AE100" i="12" s="1"/>
  <c r="M57" i="12"/>
  <c r="Y84" i="12"/>
  <c r="Z87" i="14" l="1"/>
  <c r="Z89" i="14"/>
  <c r="AB93" i="14"/>
  <c r="AB95" i="14"/>
  <c r="AD99" i="14"/>
  <c r="N56" i="14"/>
  <c r="O55" i="14" s="1"/>
  <c r="P54" i="14" s="1"/>
  <c r="Q53" i="14" s="1"/>
  <c r="R52" i="14" s="1"/>
  <c r="S51" i="14" s="1"/>
  <c r="T50" i="14" s="1"/>
  <c r="U49" i="14" s="1"/>
  <c r="V48" i="14" s="1"/>
  <c r="W47" i="14" s="1"/>
  <c r="X46" i="14" s="1"/>
  <c r="Y45" i="14" s="1"/>
  <c r="Z44" i="14" s="1"/>
  <c r="AA43" i="14" s="1"/>
  <c r="AB42" i="14" s="1"/>
  <c r="AC41" i="14" s="1"/>
  <c r="AD40" i="14" s="1"/>
  <c r="AE39" i="14" s="1"/>
  <c r="AD101" i="14" s="1"/>
  <c r="N58" i="14"/>
  <c r="Z87" i="12"/>
  <c r="Z89" i="12"/>
  <c r="AB93" i="12"/>
  <c r="AB95" i="12"/>
  <c r="AD99" i="12"/>
  <c r="N56" i="12"/>
  <c r="O55" i="12" s="1"/>
  <c r="P54" i="12" s="1"/>
  <c r="Q53" i="12" s="1"/>
  <c r="R52" i="12" s="1"/>
  <c r="S51" i="12" s="1"/>
  <c r="T50" i="12" s="1"/>
  <c r="U49" i="12" s="1"/>
  <c r="V48" i="12" s="1"/>
  <c r="W47" i="12" s="1"/>
  <c r="X46" i="12" s="1"/>
  <c r="Y45" i="12" s="1"/>
  <c r="Z44" i="12" s="1"/>
  <c r="AA43" i="12" s="1"/>
  <c r="AB42" i="12" s="1"/>
  <c r="AC41" i="12" s="1"/>
  <c r="AD40" i="12" s="1"/>
  <c r="AE39" i="12" s="1"/>
  <c r="AE102" i="12" s="1"/>
  <c r="AD101" i="12" s="1"/>
  <c r="N58" i="12"/>
  <c r="Y86" i="14" l="1"/>
  <c r="Y88" i="14"/>
  <c r="AA92" i="14"/>
  <c r="AA94" i="14"/>
  <c r="AC98" i="14"/>
  <c r="AC100" i="14"/>
  <c r="O57" i="14"/>
  <c r="P56" i="14" s="1"/>
  <c r="Q55" i="14" s="1"/>
  <c r="R54" i="14" s="1"/>
  <c r="S53" i="14" s="1"/>
  <c r="T52" i="14" s="1"/>
  <c r="U51" i="14" s="1"/>
  <c r="V50" i="14" s="1"/>
  <c r="W49" i="14" s="1"/>
  <c r="X48" i="14" s="1"/>
  <c r="Y47" i="14" s="1"/>
  <c r="Z46" i="14" s="1"/>
  <c r="AA45" i="14" s="1"/>
  <c r="AB44" i="14" s="1"/>
  <c r="AC43" i="14" s="1"/>
  <c r="AD42" i="14" s="1"/>
  <c r="AE41" i="14" s="1"/>
  <c r="O59" i="14"/>
  <c r="Y86" i="12"/>
  <c r="Y88" i="12"/>
  <c r="AA92" i="12"/>
  <c r="AA94" i="12"/>
  <c r="AC98" i="12"/>
  <c r="AC100" i="12"/>
  <c r="O57" i="12"/>
  <c r="P56" i="12" s="1"/>
  <c r="Q55" i="12" s="1"/>
  <c r="R54" i="12" s="1"/>
  <c r="S53" i="12" s="1"/>
  <c r="T52" i="12" s="1"/>
  <c r="U51" i="12" s="1"/>
  <c r="V50" i="12" s="1"/>
  <c r="W49" i="12" s="1"/>
  <c r="X48" i="12" s="1"/>
  <c r="Y47" i="12" s="1"/>
  <c r="Z46" i="12" s="1"/>
  <c r="AA45" i="12" s="1"/>
  <c r="AB44" i="12" s="1"/>
  <c r="AC43" i="12" s="1"/>
  <c r="AD42" i="12" s="1"/>
  <c r="AE41" i="12" s="1"/>
  <c r="AE104" i="12" s="1"/>
  <c r="O59" i="12"/>
  <c r="X85" i="14" l="1"/>
  <c r="X87" i="14"/>
  <c r="Z91" i="14"/>
  <c r="Z93" i="14"/>
  <c r="AB97" i="14"/>
  <c r="AB99" i="14"/>
  <c r="AD103" i="14"/>
  <c r="P58" i="14"/>
  <c r="Q57" i="14" s="1"/>
  <c r="R56" i="14" s="1"/>
  <c r="S55" i="14" s="1"/>
  <c r="T54" i="14" s="1"/>
  <c r="U53" i="14" s="1"/>
  <c r="V52" i="14" s="1"/>
  <c r="W51" i="14" s="1"/>
  <c r="X50" i="14" s="1"/>
  <c r="Y49" i="14" s="1"/>
  <c r="Z48" i="14" s="1"/>
  <c r="AA47" i="14" s="1"/>
  <c r="AB46" i="14" s="1"/>
  <c r="AC45" i="14" s="1"/>
  <c r="AD44" i="14" s="1"/>
  <c r="AE43" i="14" s="1"/>
  <c r="AD105" i="14" s="1"/>
  <c r="P60" i="14"/>
  <c r="X85" i="12"/>
  <c r="X87" i="12"/>
  <c r="Z91" i="12"/>
  <c r="Z93" i="12"/>
  <c r="AB97" i="12"/>
  <c r="AB99" i="12"/>
  <c r="AD103" i="12"/>
  <c r="P58" i="12"/>
  <c r="Q57" i="12" s="1"/>
  <c r="R56" i="12" s="1"/>
  <c r="S55" i="12" s="1"/>
  <c r="T54" i="12" s="1"/>
  <c r="U53" i="12" s="1"/>
  <c r="V52" i="12" s="1"/>
  <c r="W51" i="12" s="1"/>
  <c r="X50" i="12" s="1"/>
  <c r="Y49" i="12" s="1"/>
  <c r="Z48" i="12" s="1"/>
  <c r="AA47" i="12" s="1"/>
  <c r="AB46" i="12" s="1"/>
  <c r="AC45" i="12" s="1"/>
  <c r="AD44" i="12" s="1"/>
  <c r="AE43" i="12" s="1"/>
  <c r="AE106" i="12" s="1"/>
  <c r="AD105" i="12" s="1"/>
  <c r="P60" i="12"/>
  <c r="W86" i="14" l="1"/>
  <c r="Y90" i="14"/>
  <c r="Y92" i="14"/>
  <c r="AA96" i="14"/>
  <c r="AA98" i="14"/>
  <c r="AC102" i="14"/>
  <c r="AC104" i="14"/>
  <c r="Q59" i="14"/>
  <c r="R58" i="14" s="1"/>
  <c r="S57" i="14" s="1"/>
  <c r="T56" i="14" s="1"/>
  <c r="U55" i="14" s="1"/>
  <c r="V54" i="14" s="1"/>
  <c r="W53" i="14" s="1"/>
  <c r="X52" i="14" s="1"/>
  <c r="Y51" i="14" s="1"/>
  <c r="Z50" i="14" s="1"/>
  <c r="AA49" i="14" s="1"/>
  <c r="AB48" i="14" s="1"/>
  <c r="AC47" i="14" s="1"/>
  <c r="AD46" i="14" s="1"/>
  <c r="AE45" i="14" s="1"/>
  <c r="Q61" i="14"/>
  <c r="Y90" i="12"/>
  <c r="Y92" i="12"/>
  <c r="AA96" i="12"/>
  <c r="AA98" i="12"/>
  <c r="AC102" i="12"/>
  <c r="AC104" i="12"/>
  <c r="Q59" i="12"/>
  <c r="R58" i="12" s="1"/>
  <c r="S57" i="12" s="1"/>
  <c r="T56" i="12" s="1"/>
  <c r="U55" i="12" s="1"/>
  <c r="V54" i="12" s="1"/>
  <c r="W53" i="12" s="1"/>
  <c r="X52" i="12" s="1"/>
  <c r="Y51" i="12" s="1"/>
  <c r="Z50" i="12" s="1"/>
  <c r="AA49" i="12" s="1"/>
  <c r="AB48" i="12" s="1"/>
  <c r="AC47" i="12" s="1"/>
  <c r="AD46" i="12" s="1"/>
  <c r="AE45" i="12" s="1"/>
  <c r="AE108" i="12" s="1"/>
  <c r="Q61" i="12"/>
  <c r="W86" i="12"/>
  <c r="X89" i="14" l="1"/>
  <c r="X91" i="14"/>
  <c r="Z95" i="14"/>
  <c r="Z97" i="14"/>
  <c r="AB101" i="14"/>
  <c r="AB103" i="14"/>
  <c r="AD107" i="14"/>
  <c r="R60" i="14"/>
  <c r="S59" i="14" s="1"/>
  <c r="T58" i="14" s="1"/>
  <c r="U57" i="14" s="1"/>
  <c r="V56" i="14" s="1"/>
  <c r="W55" i="14" s="1"/>
  <c r="X54" i="14" s="1"/>
  <c r="Y53" i="14" s="1"/>
  <c r="Z52" i="14" s="1"/>
  <c r="AA51" i="14" s="1"/>
  <c r="AB50" i="14" s="1"/>
  <c r="AC49" i="14" s="1"/>
  <c r="AD48" i="14" s="1"/>
  <c r="AE47" i="14" s="1"/>
  <c r="AD109" i="14" s="1"/>
  <c r="R62" i="14"/>
  <c r="X89" i="12"/>
  <c r="X91" i="12"/>
  <c r="Z95" i="12"/>
  <c r="Z97" i="12"/>
  <c r="AB101" i="12"/>
  <c r="AB103" i="12"/>
  <c r="AD107" i="12"/>
  <c r="R60" i="12"/>
  <c r="S59" i="12" s="1"/>
  <c r="T58" i="12" s="1"/>
  <c r="U57" i="12" s="1"/>
  <c r="V56" i="12" s="1"/>
  <c r="W55" i="12" s="1"/>
  <c r="X54" i="12" s="1"/>
  <c r="Y53" i="12" s="1"/>
  <c r="Z52" i="12" s="1"/>
  <c r="AA51" i="12" s="1"/>
  <c r="AB50" i="12" s="1"/>
  <c r="AC49" i="12" s="1"/>
  <c r="AD48" i="12" s="1"/>
  <c r="AE47" i="12" s="1"/>
  <c r="AE110" i="12" s="1"/>
  <c r="AD109" i="12" s="1"/>
  <c r="R62" i="12"/>
  <c r="W88" i="14" l="1"/>
  <c r="W90" i="14"/>
  <c r="Y94" i="14"/>
  <c r="Y96" i="14"/>
  <c r="AA100" i="14"/>
  <c r="AA102" i="14"/>
  <c r="AC106" i="14"/>
  <c r="AC108" i="14"/>
  <c r="S61" i="14"/>
  <c r="T60" i="14" s="1"/>
  <c r="U59" i="14" s="1"/>
  <c r="V58" i="14" s="1"/>
  <c r="W57" i="14" s="1"/>
  <c r="X56" i="14" s="1"/>
  <c r="Y55" i="14" s="1"/>
  <c r="Z54" i="14" s="1"/>
  <c r="AA53" i="14" s="1"/>
  <c r="AB52" i="14" s="1"/>
  <c r="AC51" i="14" s="1"/>
  <c r="AD50" i="14" s="1"/>
  <c r="AE49" i="14" s="1"/>
  <c r="S63" i="14"/>
  <c r="W88" i="12"/>
  <c r="W90" i="12"/>
  <c r="Y94" i="12"/>
  <c r="Y96" i="12"/>
  <c r="AA100" i="12"/>
  <c r="AA102" i="12"/>
  <c r="AC106" i="12"/>
  <c r="AC108" i="12"/>
  <c r="S61" i="12"/>
  <c r="T60" i="12" s="1"/>
  <c r="U59" i="12" s="1"/>
  <c r="V58" i="12" s="1"/>
  <c r="W57" i="12" s="1"/>
  <c r="X56" i="12" s="1"/>
  <c r="Y55" i="12" s="1"/>
  <c r="Z54" i="12" s="1"/>
  <c r="AA53" i="12" s="1"/>
  <c r="AB52" i="12" s="1"/>
  <c r="AC51" i="12" s="1"/>
  <c r="AD50" i="12" s="1"/>
  <c r="AE49" i="12" s="1"/>
  <c r="AE112" i="12" s="1"/>
  <c r="S63" i="12"/>
  <c r="V87" i="14" l="1"/>
  <c r="V89" i="14"/>
  <c r="X93" i="14"/>
  <c r="X95" i="14"/>
  <c r="Z99" i="14"/>
  <c r="Z101" i="14"/>
  <c r="AB105" i="14"/>
  <c r="AB107" i="14"/>
  <c r="AD111" i="14"/>
  <c r="T62" i="14"/>
  <c r="U61" i="14" s="1"/>
  <c r="V60" i="14" s="1"/>
  <c r="W59" i="14" s="1"/>
  <c r="X58" i="14" s="1"/>
  <c r="Y57" i="14" s="1"/>
  <c r="Z56" i="14" s="1"/>
  <c r="AA55" i="14" s="1"/>
  <c r="AB54" i="14" s="1"/>
  <c r="AC53" i="14" s="1"/>
  <c r="AD52" i="14" s="1"/>
  <c r="AE51" i="14" s="1"/>
  <c r="AD113" i="14" s="1"/>
  <c r="T64" i="14"/>
  <c r="V87" i="12"/>
  <c r="V89" i="12"/>
  <c r="X93" i="12"/>
  <c r="X95" i="12"/>
  <c r="Z99" i="12"/>
  <c r="Z101" i="12"/>
  <c r="AB105" i="12"/>
  <c r="AB107" i="12"/>
  <c r="AD111" i="12"/>
  <c r="T62" i="12"/>
  <c r="U61" i="12" s="1"/>
  <c r="V60" i="12" s="1"/>
  <c r="W59" i="12" s="1"/>
  <c r="X58" i="12" s="1"/>
  <c r="Y57" i="12" s="1"/>
  <c r="Z56" i="12" s="1"/>
  <c r="AA55" i="12" s="1"/>
  <c r="AB54" i="12" s="1"/>
  <c r="AC53" i="12" s="1"/>
  <c r="AD52" i="12" s="1"/>
  <c r="AE51" i="12" s="1"/>
  <c r="AE114" i="12" s="1"/>
  <c r="AD113" i="12" s="1"/>
  <c r="T64" i="12"/>
  <c r="W92" i="14" l="1"/>
  <c r="W94" i="14"/>
  <c r="Y98" i="14"/>
  <c r="Y100" i="14"/>
  <c r="AA104" i="14"/>
  <c r="AA106" i="14"/>
  <c r="AC110" i="14"/>
  <c r="AC112" i="14"/>
  <c r="U63" i="14"/>
  <c r="V62" i="14" s="1"/>
  <c r="W61" i="14" s="1"/>
  <c r="X60" i="14" s="1"/>
  <c r="Y59" i="14" s="1"/>
  <c r="Z58" i="14" s="1"/>
  <c r="AA57" i="14" s="1"/>
  <c r="AB56" i="14" s="1"/>
  <c r="AC55" i="14" s="1"/>
  <c r="AD54" i="14" s="1"/>
  <c r="AE53" i="14" s="1"/>
  <c r="U65" i="14"/>
  <c r="U88" i="14"/>
  <c r="W92" i="12"/>
  <c r="W94" i="12"/>
  <c r="Y98" i="12"/>
  <c r="Y100" i="12"/>
  <c r="AA104" i="12"/>
  <c r="AA106" i="12"/>
  <c r="AC110" i="12"/>
  <c r="AC112" i="12"/>
  <c r="U63" i="12"/>
  <c r="V62" i="12" s="1"/>
  <c r="W61" i="12" s="1"/>
  <c r="X60" i="12" s="1"/>
  <c r="Y59" i="12" s="1"/>
  <c r="Z58" i="12" s="1"/>
  <c r="AA57" i="12" s="1"/>
  <c r="AB56" i="12" s="1"/>
  <c r="AC55" i="12" s="1"/>
  <c r="AD54" i="12" s="1"/>
  <c r="AE53" i="12" s="1"/>
  <c r="AE116" i="12" s="1"/>
  <c r="U65" i="12"/>
  <c r="U88" i="12"/>
  <c r="V91" i="14" l="1"/>
  <c r="V93" i="14"/>
  <c r="X97" i="14"/>
  <c r="X99" i="14"/>
  <c r="Z103" i="14"/>
  <c r="Z105" i="14"/>
  <c r="AB109" i="14"/>
  <c r="AB111" i="14"/>
  <c r="AD115" i="14"/>
  <c r="V64" i="14"/>
  <c r="W63" i="14" s="1"/>
  <c r="X62" i="14" s="1"/>
  <c r="Y61" i="14" s="1"/>
  <c r="Z60" i="14" s="1"/>
  <c r="AA59" i="14" s="1"/>
  <c r="AB58" i="14" s="1"/>
  <c r="AC57" i="14" s="1"/>
  <c r="AD56" i="14" s="1"/>
  <c r="AE55" i="14" s="1"/>
  <c r="AD117" i="14" s="1"/>
  <c r="V66" i="14"/>
  <c r="V91" i="12"/>
  <c r="V93" i="12"/>
  <c r="X97" i="12"/>
  <c r="X99" i="12"/>
  <c r="Z103" i="12"/>
  <c r="Z105" i="12"/>
  <c r="AB109" i="12"/>
  <c r="AB111" i="12"/>
  <c r="AD115" i="12"/>
  <c r="V64" i="12"/>
  <c r="W63" i="12" s="1"/>
  <c r="X62" i="12" s="1"/>
  <c r="Y61" i="12" s="1"/>
  <c r="Z60" i="12" s="1"/>
  <c r="AA59" i="12" s="1"/>
  <c r="AB58" i="12" s="1"/>
  <c r="AC57" i="12" s="1"/>
  <c r="AD56" i="12" s="1"/>
  <c r="AE55" i="12" s="1"/>
  <c r="AE118" i="12" s="1"/>
  <c r="AD117" i="12" s="1"/>
  <c r="V66" i="12"/>
  <c r="U90" i="14" l="1"/>
  <c r="U92" i="14"/>
  <c r="W96" i="14"/>
  <c r="W98" i="14"/>
  <c r="Y102" i="14"/>
  <c r="Y104" i="14"/>
  <c r="AA108" i="14"/>
  <c r="AA110" i="14"/>
  <c r="AC114" i="14"/>
  <c r="AC116" i="14"/>
  <c r="W65" i="14"/>
  <c r="X64" i="14" s="1"/>
  <c r="Y63" i="14" s="1"/>
  <c r="Z62" i="14" s="1"/>
  <c r="AA61" i="14" s="1"/>
  <c r="AB60" i="14" s="1"/>
  <c r="AC59" i="14" s="1"/>
  <c r="AD58" i="14" s="1"/>
  <c r="AE57" i="14" s="1"/>
  <c r="W67" i="14"/>
  <c r="U90" i="12"/>
  <c r="U92" i="12"/>
  <c r="W96" i="12"/>
  <c r="W98" i="12"/>
  <c r="Y102" i="12"/>
  <c r="Y104" i="12"/>
  <c r="AA108" i="12"/>
  <c r="AA110" i="12"/>
  <c r="AC114" i="12"/>
  <c r="AC116" i="12"/>
  <c r="W65" i="12"/>
  <c r="X64" i="12" s="1"/>
  <c r="Y63" i="12" s="1"/>
  <c r="Z62" i="12" s="1"/>
  <c r="AA61" i="12" s="1"/>
  <c r="AB60" i="12" s="1"/>
  <c r="AC59" i="12" s="1"/>
  <c r="AD58" i="12" s="1"/>
  <c r="AE57" i="12" s="1"/>
  <c r="AE120" i="12" s="1"/>
  <c r="W67" i="12"/>
  <c r="T89" i="14" l="1"/>
  <c r="T91" i="14"/>
  <c r="V95" i="14"/>
  <c r="V97" i="14"/>
  <c r="X101" i="14"/>
  <c r="X103" i="14"/>
  <c r="Z107" i="14"/>
  <c r="Z109" i="14"/>
  <c r="AB113" i="14"/>
  <c r="AB115" i="14"/>
  <c r="AD119" i="14"/>
  <c r="X66" i="14"/>
  <c r="Y65" i="14" s="1"/>
  <c r="Z64" i="14" s="1"/>
  <c r="AA63" i="14" s="1"/>
  <c r="AB62" i="14" s="1"/>
  <c r="AC61" i="14" s="1"/>
  <c r="AD60" i="14" s="1"/>
  <c r="AE59" i="14" s="1"/>
  <c r="AD121" i="14" s="1"/>
  <c r="X68" i="14"/>
  <c r="T89" i="12"/>
  <c r="T91" i="12"/>
  <c r="V95" i="12"/>
  <c r="V97" i="12"/>
  <c r="X101" i="12"/>
  <c r="X103" i="12"/>
  <c r="Z107" i="12"/>
  <c r="Z109" i="12"/>
  <c r="AB113" i="12"/>
  <c r="AB115" i="12"/>
  <c r="AD119" i="12"/>
  <c r="X66" i="12"/>
  <c r="Y65" i="12" s="1"/>
  <c r="Z64" i="12" s="1"/>
  <c r="AA63" i="12" s="1"/>
  <c r="AB62" i="12" s="1"/>
  <c r="AC61" i="12" s="1"/>
  <c r="AD60" i="12" s="1"/>
  <c r="AE59" i="12" s="1"/>
  <c r="AE122" i="12" s="1"/>
  <c r="AD121" i="12" s="1"/>
  <c r="X68" i="12"/>
  <c r="S90" i="14" l="1"/>
  <c r="U94" i="14"/>
  <c r="U96" i="14"/>
  <c r="W100" i="14"/>
  <c r="W102" i="14"/>
  <c r="Y106" i="14"/>
  <c r="Y108" i="14"/>
  <c r="AA112" i="14"/>
  <c r="AA114" i="14"/>
  <c r="AC118" i="14"/>
  <c r="AC120" i="14"/>
  <c r="Y67" i="14"/>
  <c r="Z66" i="14" s="1"/>
  <c r="AA65" i="14" s="1"/>
  <c r="AB64" i="14" s="1"/>
  <c r="AC63" i="14" s="1"/>
  <c r="AD62" i="14" s="1"/>
  <c r="AE61" i="14" s="1"/>
  <c r="Y69" i="14"/>
  <c r="U94" i="12"/>
  <c r="U96" i="12"/>
  <c r="W100" i="12"/>
  <c r="W102" i="12"/>
  <c r="Y106" i="12"/>
  <c r="Y108" i="12"/>
  <c r="AA112" i="12"/>
  <c r="AA114" i="12"/>
  <c r="AC118" i="12"/>
  <c r="AC120" i="12"/>
  <c r="Y67" i="12"/>
  <c r="Z66" i="12" s="1"/>
  <c r="AA65" i="12" s="1"/>
  <c r="AB64" i="12" s="1"/>
  <c r="AC63" i="12" s="1"/>
  <c r="AD62" i="12" s="1"/>
  <c r="AE61" i="12" s="1"/>
  <c r="AE124" i="12" s="1"/>
  <c r="Y69" i="12"/>
  <c r="S90" i="12"/>
  <c r="T93" i="14" l="1"/>
  <c r="T95" i="14"/>
  <c r="V99" i="14"/>
  <c r="V101" i="14"/>
  <c r="X105" i="14"/>
  <c r="X107" i="14"/>
  <c r="Z111" i="14"/>
  <c r="Z113" i="14"/>
  <c r="AB117" i="14"/>
  <c r="AB119" i="14"/>
  <c r="AD123" i="14"/>
  <c r="Z68" i="14"/>
  <c r="AA67" i="14" s="1"/>
  <c r="AB66" i="14" s="1"/>
  <c r="AC65" i="14" s="1"/>
  <c r="AD64" i="14" s="1"/>
  <c r="AE63" i="14" s="1"/>
  <c r="AD125" i="14" s="1"/>
  <c r="Z70" i="14"/>
  <c r="T93" i="12"/>
  <c r="T95" i="12"/>
  <c r="V99" i="12"/>
  <c r="V101" i="12"/>
  <c r="X105" i="12"/>
  <c r="X107" i="12"/>
  <c r="Z111" i="12"/>
  <c r="Z113" i="12"/>
  <c r="AB117" i="12"/>
  <c r="AB119" i="12"/>
  <c r="AD123" i="12"/>
  <c r="Z68" i="12"/>
  <c r="AA67" i="12" s="1"/>
  <c r="AB66" i="12" s="1"/>
  <c r="AC65" i="12" s="1"/>
  <c r="AD64" i="12" s="1"/>
  <c r="AE63" i="12" s="1"/>
  <c r="AE126" i="12" s="1"/>
  <c r="AD125" i="12" s="1"/>
  <c r="Z70" i="12"/>
  <c r="S92" i="14" l="1"/>
  <c r="S94" i="14"/>
  <c r="U98" i="14"/>
  <c r="U100" i="14"/>
  <c r="W104" i="14"/>
  <c r="W106" i="14"/>
  <c r="Y110" i="14"/>
  <c r="Y112" i="14"/>
  <c r="AA116" i="14"/>
  <c r="AA118" i="14"/>
  <c r="AC122" i="14"/>
  <c r="AC124" i="14"/>
  <c r="AA69" i="14"/>
  <c r="AB68" i="14" s="1"/>
  <c r="AC67" i="14" s="1"/>
  <c r="AD66" i="14" s="1"/>
  <c r="AE65" i="14" s="1"/>
  <c r="AA71" i="14"/>
  <c r="S92" i="12"/>
  <c r="S94" i="12"/>
  <c r="U98" i="12"/>
  <c r="U100" i="12"/>
  <c r="W104" i="12"/>
  <c r="W106" i="12"/>
  <c r="Y110" i="12"/>
  <c r="Y112" i="12"/>
  <c r="AA116" i="12"/>
  <c r="AA118" i="12"/>
  <c r="AC122" i="12"/>
  <c r="AC124" i="12"/>
  <c r="AA69" i="12"/>
  <c r="AB68" i="12" s="1"/>
  <c r="AC67" i="12" s="1"/>
  <c r="AD66" i="12" s="1"/>
  <c r="AE65" i="12" s="1"/>
  <c r="AE128" i="12" s="1"/>
  <c r="AA71" i="12"/>
  <c r="R91" i="14" l="1"/>
  <c r="R93" i="14"/>
  <c r="T97" i="14"/>
  <c r="T99" i="14"/>
  <c r="V103" i="14"/>
  <c r="V105" i="14"/>
  <c r="X109" i="14"/>
  <c r="X111" i="14"/>
  <c r="Z115" i="14"/>
  <c r="Z117" i="14"/>
  <c r="AB121" i="14"/>
  <c r="AB123" i="14"/>
  <c r="AD127" i="14"/>
  <c r="AB70" i="14"/>
  <c r="AC69" i="14" s="1"/>
  <c r="AD68" i="14" s="1"/>
  <c r="AE67" i="14" s="1"/>
  <c r="AD129" i="14" s="1"/>
  <c r="AB72" i="14"/>
  <c r="R91" i="12"/>
  <c r="R93" i="12"/>
  <c r="T97" i="12"/>
  <c r="T99" i="12"/>
  <c r="V103" i="12"/>
  <c r="V105" i="12"/>
  <c r="X109" i="12"/>
  <c r="X111" i="12"/>
  <c r="Z115" i="12"/>
  <c r="Z117" i="12"/>
  <c r="AB121" i="12"/>
  <c r="AB123" i="12"/>
  <c r="AD127" i="12"/>
  <c r="AB70" i="12"/>
  <c r="AC69" i="12" s="1"/>
  <c r="AD68" i="12" s="1"/>
  <c r="AE67" i="12" s="1"/>
  <c r="AE130" i="12" s="1"/>
  <c r="AD129" i="12" s="1"/>
  <c r="AB72" i="12"/>
  <c r="S96" i="14" l="1"/>
  <c r="S98" i="14"/>
  <c r="U102" i="14"/>
  <c r="U104" i="14"/>
  <c r="W108" i="14"/>
  <c r="W110" i="14"/>
  <c r="Y114" i="14"/>
  <c r="Y116" i="14"/>
  <c r="AA120" i="14"/>
  <c r="AA122" i="14"/>
  <c r="AC126" i="14"/>
  <c r="AC128" i="14"/>
  <c r="AC71" i="14"/>
  <c r="AD70" i="14" s="1"/>
  <c r="AE69" i="14" s="1"/>
  <c r="AC73" i="14"/>
  <c r="Q92" i="14"/>
  <c r="S96" i="12"/>
  <c r="S98" i="12"/>
  <c r="U102" i="12"/>
  <c r="U104" i="12"/>
  <c r="W108" i="12"/>
  <c r="W110" i="12"/>
  <c r="Y114" i="12"/>
  <c r="Y116" i="12"/>
  <c r="AA120" i="12"/>
  <c r="AA122" i="12"/>
  <c r="AC126" i="12"/>
  <c r="AC128" i="12"/>
  <c r="AC71" i="12"/>
  <c r="AD70" i="12" s="1"/>
  <c r="AE69" i="12" s="1"/>
  <c r="AE132" i="12" s="1"/>
  <c r="AC73" i="12"/>
  <c r="Q92" i="12"/>
  <c r="R95" i="14" l="1"/>
  <c r="R97" i="14"/>
  <c r="T101" i="14"/>
  <c r="T103" i="14"/>
  <c r="V107" i="14"/>
  <c r="V109" i="14"/>
  <c r="X113" i="14"/>
  <c r="X115" i="14"/>
  <c r="Z119" i="14"/>
  <c r="Z121" i="14"/>
  <c r="AB125" i="14"/>
  <c r="AB127" i="14"/>
  <c r="AD131" i="14"/>
  <c r="AD72" i="14"/>
  <c r="AE71" i="14" s="1"/>
  <c r="AD133" i="14" s="1"/>
  <c r="AD74" i="14"/>
  <c r="R95" i="12"/>
  <c r="R97" i="12"/>
  <c r="T101" i="12"/>
  <c r="T103" i="12"/>
  <c r="V107" i="12"/>
  <c r="V109" i="12"/>
  <c r="X113" i="12"/>
  <c r="X115" i="12"/>
  <c r="Z119" i="12"/>
  <c r="Z121" i="12"/>
  <c r="AB125" i="12"/>
  <c r="AB127" i="12"/>
  <c r="AD131" i="12"/>
  <c r="AD72" i="12"/>
  <c r="AE71" i="12" s="1"/>
  <c r="AE134" i="12" s="1"/>
  <c r="AD133" i="12" s="1"/>
  <c r="AD74" i="12"/>
  <c r="Q94" i="14" l="1"/>
  <c r="Q96" i="14"/>
  <c r="S100" i="14"/>
  <c r="S102" i="14"/>
  <c r="U106" i="14"/>
  <c r="U108" i="14"/>
  <c r="W112" i="14"/>
  <c r="W114" i="14"/>
  <c r="Y118" i="14"/>
  <c r="Y120" i="14"/>
  <c r="AA124" i="14"/>
  <c r="AA126" i="14"/>
  <c r="AC130" i="14"/>
  <c r="AC132" i="14"/>
  <c r="AE73" i="14"/>
  <c r="AE75" i="14"/>
  <c r="Q94" i="12"/>
  <c r="Q96" i="12"/>
  <c r="S100" i="12"/>
  <c r="S102" i="12"/>
  <c r="U106" i="12"/>
  <c r="U108" i="12"/>
  <c r="W112" i="12"/>
  <c r="W114" i="12"/>
  <c r="Y118" i="12"/>
  <c r="Y120" i="12"/>
  <c r="AA124" i="12"/>
  <c r="AA126" i="12"/>
  <c r="AC130" i="12"/>
  <c r="AC132" i="12"/>
  <c r="AE73" i="12"/>
  <c r="AE136" i="12" s="1"/>
  <c r="AE75" i="12"/>
  <c r="AE138" i="12" s="1"/>
  <c r="P93" i="14" l="1"/>
  <c r="P95" i="14"/>
  <c r="R99" i="14"/>
  <c r="R101" i="14"/>
  <c r="T105" i="14"/>
  <c r="T107" i="14"/>
  <c r="V111" i="14"/>
  <c r="V113" i="14"/>
  <c r="X117" i="14"/>
  <c r="X119" i="14"/>
  <c r="Z123" i="14"/>
  <c r="Z125" i="14"/>
  <c r="AB129" i="14"/>
  <c r="AB131" i="14"/>
  <c r="AD135" i="14"/>
  <c r="AD137" i="14"/>
  <c r="P93" i="12"/>
  <c r="P95" i="12"/>
  <c r="R99" i="12"/>
  <c r="R101" i="12"/>
  <c r="T105" i="12"/>
  <c r="T107" i="12"/>
  <c r="V111" i="12"/>
  <c r="V113" i="12"/>
  <c r="X117" i="12"/>
  <c r="X119" i="12"/>
  <c r="Z123" i="12"/>
  <c r="Z125" i="12"/>
  <c r="AB129" i="12"/>
  <c r="AB131" i="12"/>
  <c r="AD135" i="12"/>
  <c r="AD137" i="12"/>
  <c r="O94" i="14" l="1"/>
  <c r="Q98" i="14"/>
  <c r="Q100" i="14"/>
  <c r="S104" i="14"/>
  <c r="S106" i="14"/>
  <c r="U110" i="14"/>
  <c r="U112" i="14"/>
  <c r="W116" i="14"/>
  <c r="W118" i="14"/>
  <c r="Y122" i="14"/>
  <c r="Y124" i="14"/>
  <c r="AA128" i="14"/>
  <c r="AA130" i="14"/>
  <c r="AC134" i="14"/>
  <c r="AC136" i="14"/>
  <c r="Q98" i="12"/>
  <c r="Q100" i="12"/>
  <c r="S104" i="12"/>
  <c r="S106" i="12"/>
  <c r="U110" i="12"/>
  <c r="U112" i="12"/>
  <c r="W116" i="12"/>
  <c r="W118" i="12"/>
  <c r="Y122" i="12"/>
  <c r="Y124" i="12"/>
  <c r="AA128" i="12"/>
  <c r="AA130" i="12"/>
  <c r="AC134" i="12"/>
  <c r="AC136" i="12"/>
  <c r="O94" i="12"/>
  <c r="P97" i="14" l="1"/>
  <c r="P99" i="14"/>
  <c r="R103" i="14"/>
  <c r="R105" i="14"/>
  <c r="T109" i="14"/>
  <c r="T111" i="14"/>
  <c r="V115" i="14"/>
  <c r="V117" i="14"/>
  <c r="X121" i="14"/>
  <c r="X123" i="14"/>
  <c r="Z127" i="14"/>
  <c r="Z129" i="14"/>
  <c r="AB133" i="14"/>
  <c r="AB135" i="14"/>
  <c r="P97" i="12"/>
  <c r="P99" i="12"/>
  <c r="R103" i="12"/>
  <c r="R105" i="12"/>
  <c r="T109" i="12"/>
  <c r="T111" i="12"/>
  <c r="V115" i="12"/>
  <c r="V117" i="12"/>
  <c r="X121" i="12"/>
  <c r="X123" i="12"/>
  <c r="Z127" i="12"/>
  <c r="Z129" i="12"/>
  <c r="AB133" i="12"/>
  <c r="AB135" i="12"/>
  <c r="O96" i="14" l="1"/>
  <c r="O98" i="14"/>
  <c r="Q102" i="14"/>
  <c r="Q104" i="14"/>
  <c r="S108" i="14"/>
  <c r="S110" i="14"/>
  <c r="U114" i="14"/>
  <c r="U116" i="14"/>
  <c r="W120" i="14"/>
  <c r="W122" i="14"/>
  <c r="Y126" i="14"/>
  <c r="Y128" i="14"/>
  <c r="AA132" i="14"/>
  <c r="AA134" i="14"/>
  <c r="O96" i="12"/>
  <c r="O98" i="12"/>
  <c r="Q102" i="12"/>
  <c r="Q104" i="12"/>
  <c r="S108" i="12"/>
  <c r="S110" i="12"/>
  <c r="U114" i="12"/>
  <c r="U116" i="12"/>
  <c r="W120" i="12"/>
  <c r="W122" i="12"/>
  <c r="Y126" i="12"/>
  <c r="Y128" i="12"/>
  <c r="AA132" i="12"/>
  <c r="AA134" i="12"/>
  <c r="N95" i="14" l="1"/>
  <c r="N97" i="14"/>
  <c r="P101" i="14"/>
  <c r="P103" i="14"/>
  <c r="R107" i="14"/>
  <c r="R109" i="14"/>
  <c r="T113" i="14"/>
  <c r="T115" i="14"/>
  <c r="V119" i="14"/>
  <c r="V121" i="14"/>
  <c r="X125" i="14"/>
  <c r="X127" i="14"/>
  <c r="Z131" i="14"/>
  <c r="Z133" i="14"/>
  <c r="N95" i="12"/>
  <c r="N97" i="12"/>
  <c r="P101" i="12"/>
  <c r="P103" i="12"/>
  <c r="R107" i="12"/>
  <c r="R109" i="12"/>
  <c r="T113" i="12"/>
  <c r="T115" i="12"/>
  <c r="V119" i="12"/>
  <c r="V121" i="12"/>
  <c r="X125" i="12"/>
  <c r="X127" i="12"/>
  <c r="Z131" i="12"/>
  <c r="Z133" i="12"/>
  <c r="M96" i="14" l="1"/>
  <c r="O100" i="14"/>
  <c r="O102" i="14"/>
  <c r="Q106" i="14"/>
  <c r="Q108" i="14"/>
  <c r="S112" i="14"/>
  <c r="S114" i="14"/>
  <c r="U118" i="14"/>
  <c r="U120" i="14"/>
  <c r="W124" i="14"/>
  <c r="W126" i="14"/>
  <c r="Y130" i="14"/>
  <c r="Y132" i="14"/>
  <c r="O100" i="12"/>
  <c r="O102" i="12"/>
  <c r="Q106" i="12"/>
  <c r="Q108" i="12"/>
  <c r="S112" i="12"/>
  <c r="S114" i="12"/>
  <c r="U118" i="12"/>
  <c r="U120" i="12"/>
  <c r="W124" i="12"/>
  <c r="W126" i="12"/>
  <c r="Y130" i="12"/>
  <c r="Y132" i="12"/>
  <c r="M96" i="12"/>
  <c r="N99" i="14" l="1"/>
  <c r="N101" i="14"/>
  <c r="P105" i="14"/>
  <c r="P107" i="14"/>
  <c r="R111" i="14"/>
  <c r="R113" i="14"/>
  <c r="T117" i="14"/>
  <c r="T119" i="14"/>
  <c r="V123" i="14"/>
  <c r="V125" i="14"/>
  <c r="X129" i="14"/>
  <c r="X131" i="14"/>
  <c r="N99" i="12"/>
  <c r="N101" i="12"/>
  <c r="P105" i="12"/>
  <c r="P107" i="12"/>
  <c r="R111" i="12"/>
  <c r="R113" i="12"/>
  <c r="T117" i="12"/>
  <c r="T119" i="12"/>
  <c r="V123" i="12"/>
  <c r="V125" i="12"/>
  <c r="X129" i="12"/>
  <c r="X131" i="12"/>
  <c r="M98" i="14" l="1"/>
  <c r="M100" i="14"/>
  <c r="O104" i="14"/>
  <c r="O106" i="14"/>
  <c r="Q110" i="14"/>
  <c r="Q112" i="14"/>
  <c r="S116" i="14"/>
  <c r="S118" i="14"/>
  <c r="U122" i="14"/>
  <c r="U124" i="14"/>
  <c r="W128" i="14"/>
  <c r="W130" i="14"/>
  <c r="M98" i="12"/>
  <c r="M100" i="12"/>
  <c r="O104" i="12"/>
  <c r="O106" i="12"/>
  <c r="Q110" i="12"/>
  <c r="Q112" i="12"/>
  <c r="S116" i="12"/>
  <c r="S118" i="12"/>
  <c r="U122" i="12"/>
  <c r="U124" i="12"/>
  <c r="W128" i="12"/>
  <c r="W130" i="12"/>
  <c r="L97" i="14" l="1"/>
  <c r="L99" i="14"/>
  <c r="N103" i="14"/>
  <c r="N105" i="14"/>
  <c r="P109" i="14"/>
  <c r="P111" i="14"/>
  <c r="R115" i="14"/>
  <c r="R117" i="14"/>
  <c r="T121" i="14"/>
  <c r="T123" i="14"/>
  <c r="V127" i="14"/>
  <c r="V129" i="14"/>
  <c r="L97" i="12"/>
  <c r="L99" i="12"/>
  <c r="N103" i="12"/>
  <c r="N105" i="12"/>
  <c r="P109" i="12"/>
  <c r="P111" i="12"/>
  <c r="R115" i="12"/>
  <c r="R117" i="12"/>
  <c r="T121" i="12"/>
  <c r="T123" i="12"/>
  <c r="V127" i="12"/>
  <c r="V129" i="12"/>
  <c r="K98" i="12" l="1"/>
  <c r="M102" i="14"/>
  <c r="M104" i="14"/>
  <c r="O108" i="14"/>
  <c r="O110" i="14"/>
  <c r="Q114" i="14"/>
  <c r="Q116" i="14"/>
  <c r="S120" i="14"/>
  <c r="S122" i="14"/>
  <c r="U126" i="14"/>
  <c r="U128" i="14"/>
  <c r="K98" i="14"/>
  <c r="M102" i="12"/>
  <c r="M104" i="12"/>
  <c r="O108" i="12"/>
  <c r="O110" i="12"/>
  <c r="Q114" i="12"/>
  <c r="Q116" i="12"/>
  <c r="S120" i="12"/>
  <c r="S122" i="12"/>
  <c r="U126" i="12"/>
  <c r="U128" i="12"/>
  <c r="L101" i="14" l="1"/>
  <c r="L103" i="14"/>
  <c r="N107" i="14"/>
  <c r="N109" i="14"/>
  <c r="P113" i="14"/>
  <c r="P115" i="14"/>
  <c r="R119" i="14"/>
  <c r="R121" i="14"/>
  <c r="T125" i="14"/>
  <c r="T127" i="14"/>
  <c r="L101" i="12"/>
  <c r="L103" i="12"/>
  <c r="N107" i="12"/>
  <c r="N109" i="12"/>
  <c r="P113" i="12"/>
  <c r="P115" i="12"/>
  <c r="R119" i="12"/>
  <c r="R121" i="12"/>
  <c r="T125" i="12"/>
  <c r="T127" i="12"/>
  <c r="K100" i="14" l="1"/>
  <c r="K102" i="14"/>
  <c r="M106" i="14"/>
  <c r="M108" i="14"/>
  <c r="O112" i="14"/>
  <c r="O114" i="14"/>
  <c r="Q118" i="14"/>
  <c r="Q120" i="14"/>
  <c r="S124" i="14"/>
  <c r="S126" i="14"/>
  <c r="K100" i="12"/>
  <c r="K102" i="12"/>
  <c r="M106" i="12"/>
  <c r="M108" i="12"/>
  <c r="O112" i="12"/>
  <c r="O114" i="12"/>
  <c r="Q118" i="12"/>
  <c r="Q120" i="12"/>
  <c r="S124" i="12"/>
  <c r="S126" i="12"/>
  <c r="J99" i="14" l="1"/>
  <c r="J101" i="14"/>
  <c r="L105" i="14"/>
  <c r="L107" i="14"/>
  <c r="N111" i="14"/>
  <c r="N113" i="14"/>
  <c r="P117" i="14"/>
  <c r="P119" i="14"/>
  <c r="R123" i="14"/>
  <c r="R125" i="14"/>
  <c r="J99" i="12"/>
  <c r="J101" i="12"/>
  <c r="L105" i="12"/>
  <c r="L107" i="12"/>
  <c r="N111" i="12"/>
  <c r="N113" i="12"/>
  <c r="P117" i="12"/>
  <c r="P119" i="12"/>
  <c r="R123" i="12"/>
  <c r="R125" i="12"/>
  <c r="K104" i="14" l="1"/>
  <c r="K106" i="14"/>
  <c r="M110" i="14"/>
  <c r="M112" i="14"/>
  <c r="O116" i="14"/>
  <c r="O118" i="14"/>
  <c r="Q122" i="14"/>
  <c r="Q124" i="14"/>
  <c r="I100" i="14"/>
  <c r="K104" i="12"/>
  <c r="K106" i="12"/>
  <c r="M110" i="12"/>
  <c r="M112" i="12"/>
  <c r="O116" i="12"/>
  <c r="O118" i="12"/>
  <c r="Q122" i="12"/>
  <c r="Q124" i="12"/>
  <c r="I100" i="12"/>
  <c r="J103" i="14" l="1"/>
  <c r="J105" i="14"/>
  <c r="L109" i="14"/>
  <c r="L111" i="14"/>
  <c r="N115" i="14"/>
  <c r="N117" i="14"/>
  <c r="P121" i="14"/>
  <c r="P123" i="14"/>
  <c r="J103" i="12"/>
  <c r="J105" i="12"/>
  <c r="L109" i="12"/>
  <c r="L111" i="12"/>
  <c r="N115" i="12"/>
  <c r="N117" i="12"/>
  <c r="P121" i="12"/>
  <c r="P123" i="12"/>
  <c r="I102" i="14" l="1"/>
  <c r="I104" i="14"/>
  <c r="K108" i="14"/>
  <c r="K110" i="14"/>
  <c r="M114" i="14"/>
  <c r="M116" i="14"/>
  <c r="O120" i="14"/>
  <c r="O122" i="14"/>
  <c r="I102" i="12"/>
  <c r="I104" i="12"/>
  <c r="K108" i="12"/>
  <c r="K110" i="12"/>
  <c r="M114" i="12"/>
  <c r="M116" i="12"/>
  <c r="O120" i="12"/>
  <c r="O122" i="12"/>
  <c r="H101" i="14" l="1"/>
  <c r="H103" i="14"/>
  <c r="J107" i="14"/>
  <c r="J109" i="14"/>
  <c r="L113" i="14"/>
  <c r="L115" i="14"/>
  <c r="N119" i="14"/>
  <c r="N121" i="14"/>
  <c r="H101" i="12"/>
  <c r="H103" i="12"/>
  <c r="J107" i="12"/>
  <c r="J109" i="12"/>
  <c r="L113" i="12"/>
  <c r="L115" i="12"/>
  <c r="N119" i="12"/>
  <c r="N121" i="12"/>
  <c r="G102" i="12" l="1"/>
  <c r="G102" i="14"/>
  <c r="I106" i="14"/>
  <c r="I108" i="14"/>
  <c r="K112" i="14"/>
  <c r="K114" i="14"/>
  <c r="M118" i="14"/>
  <c r="M120" i="14"/>
  <c r="I106" i="12"/>
  <c r="I108" i="12"/>
  <c r="K112" i="12"/>
  <c r="K114" i="12"/>
  <c r="M118" i="12"/>
  <c r="M120" i="12"/>
  <c r="H105" i="14" l="1"/>
  <c r="H107" i="14"/>
  <c r="J111" i="14"/>
  <c r="J113" i="14"/>
  <c r="L117" i="14"/>
  <c r="L119" i="14"/>
  <c r="H105" i="12"/>
  <c r="H107" i="12"/>
  <c r="J111" i="12"/>
  <c r="J113" i="12"/>
  <c r="L117" i="12"/>
  <c r="L119" i="12"/>
  <c r="G104" i="14" l="1"/>
  <c r="G106" i="14"/>
  <c r="I110" i="14"/>
  <c r="I112" i="14"/>
  <c r="K116" i="14"/>
  <c r="K118" i="14"/>
  <c r="G104" i="12"/>
  <c r="G106" i="12"/>
  <c r="I110" i="12"/>
  <c r="I112" i="12"/>
  <c r="K116" i="12"/>
  <c r="K118" i="12"/>
  <c r="F103" i="14" l="1"/>
  <c r="F105" i="14"/>
  <c r="H109" i="14"/>
  <c r="H111" i="14"/>
  <c r="J115" i="14"/>
  <c r="J117" i="14"/>
  <c r="F103" i="12"/>
  <c r="F105" i="12"/>
  <c r="H109" i="12"/>
  <c r="H111" i="12"/>
  <c r="J115" i="12"/>
  <c r="J117" i="12"/>
  <c r="E104" i="14" l="1"/>
  <c r="G108" i="14"/>
  <c r="G110" i="14"/>
  <c r="I114" i="14"/>
  <c r="I116" i="14"/>
  <c r="G108" i="12"/>
  <c r="G110" i="12"/>
  <c r="I114" i="12"/>
  <c r="I116" i="12"/>
  <c r="E104" i="12"/>
  <c r="F107" i="14" l="1"/>
  <c r="F109" i="14"/>
  <c r="H113" i="14"/>
  <c r="H115" i="14"/>
  <c r="F107" i="12"/>
  <c r="F109" i="12"/>
  <c r="H113" i="12"/>
  <c r="H115" i="12"/>
  <c r="E106" i="14" l="1"/>
  <c r="E108" i="14"/>
  <c r="G112" i="14"/>
  <c r="G114" i="14"/>
  <c r="E106" i="12"/>
  <c r="E108" i="12"/>
  <c r="G112" i="12"/>
  <c r="G114" i="12"/>
  <c r="D105" i="14" l="1"/>
  <c r="D107" i="14"/>
  <c r="F111" i="14"/>
  <c r="F113" i="14"/>
  <c r="D105" i="12"/>
  <c r="D107" i="12"/>
  <c r="F111" i="12"/>
  <c r="F113" i="12"/>
  <c r="C106" i="14" l="1"/>
  <c r="E110" i="14"/>
  <c r="E112" i="14"/>
  <c r="E110" i="12"/>
  <c r="E112" i="12"/>
  <c r="C106" i="12"/>
  <c r="D109" i="14" l="1"/>
  <c r="D111" i="14"/>
  <c r="D109" i="12"/>
  <c r="D111" i="12"/>
  <c r="C108" i="14" l="1"/>
  <c r="C110" i="14"/>
  <c r="C108" i="12"/>
  <c r="C110" i="12"/>
  <c r="B107" i="14" l="1"/>
  <c r="B109" i="14"/>
  <c r="B107" i="12"/>
  <c r="B109" i="12"/>
  <c r="A108" i="14" l="1"/>
  <c r="G5" i="14" s="1"/>
  <c r="A108" i="12"/>
  <c r="G5" i="12" s="1"/>
  <c r="N4" i="9" l="1"/>
  <c r="G4" i="9"/>
  <c r="L4" i="3"/>
  <c r="G4" i="3"/>
  <c r="G4" i="5" l="1"/>
  <c r="E4" i="10"/>
  <c r="L11" i="10"/>
  <c r="L12" i="10" s="1"/>
  <c r="G11" i="13" s="1"/>
  <c r="G13" i="13" s="1"/>
  <c r="K11" i="10"/>
  <c r="K12" i="10" s="1"/>
  <c r="J11" i="10"/>
  <c r="J12" i="10" s="1"/>
  <c r="I11" i="10"/>
  <c r="I12" i="10" s="1"/>
  <c r="G10" i="13" s="1"/>
  <c r="G12" i="13" s="1"/>
  <c r="AJ6" i="10"/>
  <c r="AK6" i="10" s="1"/>
  <c r="AK5" i="10"/>
  <c r="A5" i="10"/>
  <c r="A6" i="10" s="1"/>
  <c r="E6" i="10" s="1"/>
  <c r="L4" i="10"/>
  <c r="J3" i="10"/>
  <c r="L3" i="9"/>
  <c r="C1" i="9" s="1"/>
  <c r="N11" i="9"/>
  <c r="M11" i="9"/>
  <c r="M12" i="9" s="1"/>
  <c r="L11" i="9"/>
  <c r="L12" i="9" s="1"/>
  <c r="K11" i="9"/>
  <c r="K12" i="9" s="1"/>
  <c r="AL6" i="9"/>
  <c r="AM5" i="9"/>
  <c r="A5" i="9"/>
  <c r="B1" i="9"/>
  <c r="G14" i="13" l="1"/>
  <c r="L13" i="9"/>
  <c r="AL7" i="9"/>
  <c r="AM6" i="9"/>
  <c r="A6" i="9"/>
  <c r="G6" i="9" s="1"/>
  <c r="G5" i="9"/>
  <c r="M3" i="9"/>
  <c r="E5" i="10"/>
  <c r="AJ7" i="10"/>
  <c r="AJ8" i="10" s="1"/>
  <c r="AK8" i="10"/>
  <c r="AJ9" i="10"/>
  <c r="J13" i="10"/>
  <c r="I13" i="10"/>
  <c r="AK7" i="10"/>
  <c r="A7" i="10"/>
  <c r="E7" i="10" s="1"/>
  <c r="N12" i="9"/>
  <c r="A7" i="9"/>
  <c r="G7" i="9" s="1"/>
  <c r="C5" i="9"/>
  <c r="B6" i="9"/>
  <c r="C6" i="9"/>
  <c r="M13" i="9"/>
  <c r="K13" i="9"/>
  <c r="C7" i="9"/>
  <c r="B4" i="9"/>
  <c r="C4" i="9"/>
  <c r="B5" i="9"/>
  <c r="K20" i="9" l="1"/>
  <c r="AM7" i="9"/>
  <c r="AL8" i="9"/>
  <c r="D1" i="9"/>
  <c r="N3" i="9"/>
  <c r="E1" i="9" s="1"/>
  <c r="K13" i="10"/>
  <c r="A8" i="10"/>
  <c r="E8" i="10" s="1"/>
  <c r="AK9" i="10"/>
  <c r="AJ10" i="10"/>
  <c r="A8" i="9"/>
  <c r="G8" i="9" s="1"/>
  <c r="B7" i="9"/>
  <c r="AM8" i="9" l="1"/>
  <c r="AL9" i="9"/>
  <c r="E5" i="9"/>
  <c r="E6" i="9"/>
  <c r="E4" i="9"/>
  <c r="E7" i="9"/>
  <c r="D6" i="9"/>
  <c r="D5" i="9"/>
  <c r="D4" i="9"/>
  <c r="D7" i="9"/>
  <c r="N13" i="9"/>
  <c r="K14" i="9" s="1"/>
  <c r="A9" i="10"/>
  <c r="E9" i="10" s="1"/>
  <c r="AJ11" i="10"/>
  <c r="AK10" i="10"/>
  <c r="L13" i="10"/>
  <c r="A9" i="9"/>
  <c r="G9" i="9" s="1"/>
  <c r="E8" i="9"/>
  <c r="D8" i="9"/>
  <c r="B8" i="9"/>
  <c r="C8" i="9"/>
  <c r="AL10" i="9" l="1"/>
  <c r="AM9" i="9"/>
  <c r="I21" i="10"/>
  <c r="G8" i="13" s="1"/>
  <c r="G15" i="13" s="1"/>
  <c r="F4" i="9"/>
  <c r="H4" i="9" s="1"/>
  <c r="F7" i="9"/>
  <c r="C7" i="10" s="1"/>
  <c r="F5" i="9"/>
  <c r="H5" i="9" s="1"/>
  <c r="F6" i="9"/>
  <c r="AK11" i="10"/>
  <c r="AJ12" i="10"/>
  <c r="A10" i="10"/>
  <c r="E10" i="10" s="1"/>
  <c r="F8" i="9"/>
  <c r="A10" i="9"/>
  <c r="G10" i="9" s="1"/>
  <c r="E9" i="9"/>
  <c r="C9" i="9"/>
  <c r="D9" i="9"/>
  <c r="B9" i="9"/>
  <c r="AM10" i="9" l="1"/>
  <c r="AL11" i="9"/>
  <c r="H7" i="9"/>
  <c r="C4" i="10"/>
  <c r="C5" i="10"/>
  <c r="H6" i="9"/>
  <c r="C6" i="10"/>
  <c r="H8" i="9"/>
  <c r="C8" i="10"/>
  <c r="AK12" i="10"/>
  <c r="AJ13" i="10"/>
  <c r="A11" i="10"/>
  <c r="E11" i="10" s="1"/>
  <c r="F9" i="9"/>
  <c r="A11" i="9"/>
  <c r="G11" i="9" s="1"/>
  <c r="E10" i="9"/>
  <c r="D10" i="9"/>
  <c r="B10" i="9"/>
  <c r="C10" i="9"/>
  <c r="AL12" i="9" l="1"/>
  <c r="AM11" i="9"/>
  <c r="H9" i="9"/>
  <c r="C9" i="10"/>
  <c r="A12" i="10"/>
  <c r="E12" i="10" s="1"/>
  <c r="AJ14" i="10"/>
  <c r="AK13" i="10"/>
  <c r="F10" i="9"/>
  <c r="A12" i="9"/>
  <c r="G12" i="9" s="1"/>
  <c r="B11" i="9"/>
  <c r="C11" i="9"/>
  <c r="D11" i="9"/>
  <c r="E11" i="9"/>
  <c r="AM12" i="9" l="1"/>
  <c r="AL13" i="9"/>
  <c r="H10" i="9"/>
  <c r="C10" i="10"/>
  <c r="A13" i="10"/>
  <c r="E13" i="10" s="1"/>
  <c r="AJ15" i="10"/>
  <c r="AK14" i="10"/>
  <c r="A13" i="9"/>
  <c r="G13" i="9" s="1"/>
  <c r="C12" i="9"/>
  <c r="B12" i="9"/>
  <c r="D12" i="9"/>
  <c r="E12" i="9"/>
  <c r="F11" i="9"/>
  <c r="AM13" i="9" l="1"/>
  <c r="AL14" i="9"/>
  <c r="H11" i="9"/>
  <c r="C11" i="10"/>
  <c r="AJ16" i="10"/>
  <c r="AK15" i="10"/>
  <c r="A14" i="10"/>
  <c r="E14" i="10" s="1"/>
  <c r="F12" i="9"/>
  <c r="A14" i="9"/>
  <c r="G14" i="9" s="1"/>
  <c r="E13" i="9"/>
  <c r="C13" i="9"/>
  <c r="B13" i="9"/>
  <c r="D13" i="9"/>
  <c r="AL15" i="9" l="1"/>
  <c r="AM14" i="9"/>
  <c r="H12" i="9"/>
  <c r="C12" i="10"/>
  <c r="A15" i="10"/>
  <c r="E15" i="10" s="1"/>
  <c r="AJ17" i="10"/>
  <c r="AK16" i="10"/>
  <c r="F13" i="9"/>
  <c r="A15" i="9"/>
  <c r="G15" i="9" s="1"/>
  <c r="C14" i="9"/>
  <c r="B14" i="9"/>
  <c r="D14" i="9"/>
  <c r="E14" i="9"/>
  <c r="AM15" i="9" l="1"/>
  <c r="AL16" i="9"/>
  <c r="H13" i="9"/>
  <c r="C13" i="10"/>
  <c r="AJ18" i="10"/>
  <c r="AK17" i="10"/>
  <c r="A16" i="10"/>
  <c r="E16" i="10" s="1"/>
  <c r="A16" i="9"/>
  <c r="G16" i="9" s="1"/>
  <c r="D15" i="9"/>
  <c r="B15" i="9"/>
  <c r="C15" i="9"/>
  <c r="E15" i="9"/>
  <c r="F14" i="9"/>
  <c r="AM16" i="9" l="1"/>
  <c r="AL17" i="9"/>
  <c r="H14" i="9"/>
  <c r="C14" i="10"/>
  <c r="A17" i="10"/>
  <c r="E17" i="10" s="1"/>
  <c r="AJ19" i="10"/>
  <c r="AK18" i="10"/>
  <c r="A17" i="9"/>
  <c r="G17" i="9" s="1"/>
  <c r="D16" i="9"/>
  <c r="C16" i="9"/>
  <c r="E16" i="9"/>
  <c r="B16" i="9"/>
  <c r="F15" i="9"/>
  <c r="AL18" i="9" l="1"/>
  <c r="AM17" i="9"/>
  <c r="H15" i="9"/>
  <c r="C15" i="10"/>
  <c r="AK19" i="10"/>
  <c r="AJ20" i="10"/>
  <c r="A18" i="10"/>
  <c r="E18" i="10" s="1"/>
  <c r="F16" i="9"/>
  <c r="A18" i="9"/>
  <c r="G18" i="9" s="1"/>
  <c r="C17" i="9"/>
  <c r="D17" i="9"/>
  <c r="B17" i="9"/>
  <c r="E17" i="9"/>
  <c r="AM18" i="9" l="1"/>
  <c r="AL19" i="9"/>
  <c r="H16" i="9"/>
  <c r="C16" i="10"/>
  <c r="A19" i="10"/>
  <c r="E19" i="10" s="1"/>
  <c r="AK20" i="10"/>
  <c r="AJ21" i="10"/>
  <c r="F17" i="9"/>
  <c r="A19" i="9"/>
  <c r="G19" i="9" s="1"/>
  <c r="D18" i="9"/>
  <c r="B18" i="9"/>
  <c r="E18" i="9"/>
  <c r="C18" i="9"/>
  <c r="AM19" i="9" l="1"/>
  <c r="AL20" i="9"/>
  <c r="H17" i="9"/>
  <c r="C17" i="10"/>
  <c r="AJ22" i="10"/>
  <c r="AK21" i="10"/>
  <c r="A20" i="10"/>
  <c r="E20" i="10" s="1"/>
  <c r="F18" i="9"/>
  <c r="A20" i="9"/>
  <c r="G20" i="9" s="1"/>
  <c r="D19" i="9"/>
  <c r="C19" i="9"/>
  <c r="E19" i="9"/>
  <c r="B19" i="9"/>
  <c r="AL21" i="9" l="1"/>
  <c r="AM20" i="9"/>
  <c r="H18" i="9"/>
  <c r="C18" i="10"/>
  <c r="A21" i="10"/>
  <c r="E21" i="10" s="1"/>
  <c r="AK22" i="10"/>
  <c r="AJ23" i="10"/>
  <c r="F19" i="9"/>
  <c r="A21" i="9"/>
  <c r="G21" i="9" s="1"/>
  <c r="D20" i="9"/>
  <c r="E20" i="9"/>
  <c r="B20" i="9"/>
  <c r="C20" i="9"/>
  <c r="AL22" i="9" l="1"/>
  <c r="AM21" i="9"/>
  <c r="H19" i="9"/>
  <c r="C19" i="10"/>
  <c r="AK23" i="10"/>
  <c r="AJ24" i="10"/>
  <c r="A22" i="10"/>
  <c r="E22" i="10" s="1"/>
  <c r="F20" i="9"/>
  <c r="A22" i="9"/>
  <c r="G22" i="9" s="1"/>
  <c r="B21" i="9"/>
  <c r="D21" i="9"/>
  <c r="E21" i="9"/>
  <c r="C21" i="9"/>
  <c r="AM22" i="9" l="1"/>
  <c r="AL23" i="9"/>
  <c r="H20" i="9"/>
  <c r="C20" i="10"/>
  <c r="A23" i="10"/>
  <c r="E23" i="10" s="1"/>
  <c r="AJ25" i="10"/>
  <c r="AK24" i="10"/>
  <c r="F21" i="9"/>
  <c r="A23" i="9"/>
  <c r="G23" i="9" s="1"/>
  <c r="D22" i="9"/>
  <c r="E22" i="9"/>
  <c r="C22" i="9"/>
  <c r="B22" i="9"/>
  <c r="AL24" i="9" l="1"/>
  <c r="AM23" i="9"/>
  <c r="H21" i="9"/>
  <c r="C21" i="10"/>
  <c r="AJ26" i="10"/>
  <c r="AK25" i="10"/>
  <c r="A24" i="10"/>
  <c r="E24" i="10" s="1"/>
  <c r="F22" i="9"/>
  <c r="A24" i="9"/>
  <c r="G24" i="9" s="1"/>
  <c r="E23" i="9"/>
  <c r="D23" i="9"/>
  <c r="C23" i="9"/>
  <c r="B23" i="9"/>
  <c r="AL25" i="9" l="1"/>
  <c r="AM24" i="9"/>
  <c r="H22" i="9"/>
  <c r="C22" i="10"/>
  <c r="A25" i="10"/>
  <c r="E25" i="10" s="1"/>
  <c r="AK26" i="10"/>
  <c r="AJ27" i="10"/>
  <c r="F23" i="9"/>
  <c r="A25" i="9"/>
  <c r="G25" i="9" s="1"/>
  <c r="D24" i="9"/>
  <c r="C24" i="9"/>
  <c r="B24" i="9"/>
  <c r="E24" i="9"/>
  <c r="AL26" i="9" l="1"/>
  <c r="AM25" i="9"/>
  <c r="H23" i="9"/>
  <c r="C23" i="10"/>
  <c r="AK27" i="10"/>
  <c r="AJ28" i="10"/>
  <c r="A26" i="10"/>
  <c r="E26" i="10" s="1"/>
  <c r="F24" i="9"/>
  <c r="A26" i="9"/>
  <c r="G26" i="9" s="1"/>
  <c r="B25" i="9"/>
  <c r="E25" i="9"/>
  <c r="D25" i="9"/>
  <c r="C25" i="9"/>
  <c r="AL27" i="9" l="1"/>
  <c r="AM26" i="9"/>
  <c r="H24" i="9"/>
  <c r="C24" i="10"/>
  <c r="A27" i="10"/>
  <c r="E27" i="10" s="1"/>
  <c r="AJ29" i="10"/>
  <c r="AK28" i="10"/>
  <c r="F25" i="9"/>
  <c r="A27" i="9"/>
  <c r="G27" i="9" s="1"/>
  <c r="D26" i="9"/>
  <c r="C26" i="9"/>
  <c r="B26" i="9"/>
  <c r="E26" i="9"/>
  <c r="AM27" i="9" l="1"/>
  <c r="AL28" i="9"/>
  <c r="H25" i="9"/>
  <c r="C25" i="10"/>
  <c r="A28" i="10"/>
  <c r="E28" i="10" s="1"/>
  <c r="AJ30" i="10"/>
  <c r="AK29" i="10"/>
  <c r="F26" i="9"/>
  <c r="A28" i="9"/>
  <c r="G28" i="9" s="1"/>
  <c r="E27" i="9"/>
  <c r="D27" i="9"/>
  <c r="C27" i="9"/>
  <c r="B27" i="9"/>
  <c r="AL29" i="9" l="1"/>
  <c r="AM28" i="9"/>
  <c r="H26" i="9"/>
  <c r="C26" i="10"/>
  <c r="A29" i="10"/>
  <c r="E29" i="10" s="1"/>
  <c r="AK30" i="10"/>
  <c r="AJ31" i="10"/>
  <c r="A29" i="9"/>
  <c r="G29" i="9" s="1"/>
  <c r="E28" i="9"/>
  <c r="D28" i="9"/>
  <c r="B28" i="9"/>
  <c r="C28" i="9"/>
  <c r="F27" i="9"/>
  <c r="AM29" i="9" l="1"/>
  <c r="AL30" i="9"/>
  <c r="H27" i="9"/>
  <c r="C27" i="10"/>
  <c r="AK31" i="10"/>
  <c r="AJ32" i="10"/>
  <c r="A30" i="10"/>
  <c r="E30" i="10" s="1"/>
  <c r="F28" i="9"/>
  <c r="A30" i="9"/>
  <c r="G30" i="9" s="1"/>
  <c r="E29" i="9"/>
  <c r="D29" i="9"/>
  <c r="B29" i="9"/>
  <c r="C29" i="9"/>
  <c r="AM30" i="9" l="1"/>
  <c r="AL31" i="9"/>
  <c r="H28" i="9"/>
  <c r="C28" i="10"/>
  <c r="A31" i="10"/>
  <c r="E31" i="10" s="1"/>
  <c r="AJ33" i="10"/>
  <c r="AK32" i="10"/>
  <c r="F29" i="9"/>
  <c r="A31" i="9"/>
  <c r="G31" i="9" s="1"/>
  <c r="D30" i="9"/>
  <c r="C30" i="9"/>
  <c r="E30" i="9"/>
  <c r="B30" i="9"/>
  <c r="AM31" i="9" l="1"/>
  <c r="AL32" i="9"/>
  <c r="H29" i="9"/>
  <c r="C29" i="10"/>
  <c r="AJ34" i="10"/>
  <c r="AK33" i="10"/>
  <c r="A32" i="10"/>
  <c r="E32" i="10" s="1"/>
  <c r="F30" i="9"/>
  <c r="A32" i="9"/>
  <c r="G32" i="9" s="1"/>
  <c r="D31" i="9"/>
  <c r="C31" i="9"/>
  <c r="E31" i="9"/>
  <c r="B31" i="9"/>
  <c r="AL33" i="9" l="1"/>
  <c r="AM32" i="9"/>
  <c r="H30" i="9"/>
  <c r="C30" i="10"/>
  <c r="A33" i="10"/>
  <c r="E33" i="10" s="1"/>
  <c r="AK34" i="10"/>
  <c r="AJ35" i="10"/>
  <c r="A33" i="9"/>
  <c r="G33" i="9" s="1"/>
  <c r="E32" i="9"/>
  <c r="B32" i="9"/>
  <c r="C32" i="9"/>
  <c r="D32" i="9"/>
  <c r="F31" i="9"/>
  <c r="AL34" i="9" l="1"/>
  <c r="AM33" i="9"/>
  <c r="H31" i="9"/>
  <c r="C31" i="10"/>
  <c r="AJ36" i="10"/>
  <c r="AK35" i="10"/>
  <c r="A34" i="10"/>
  <c r="E34" i="10" s="1"/>
  <c r="F32" i="9"/>
  <c r="A34" i="9"/>
  <c r="G34" i="9" s="1"/>
  <c r="E33" i="9"/>
  <c r="C33" i="9"/>
  <c r="B33" i="9"/>
  <c r="D33" i="9"/>
  <c r="AM34" i="9" l="1"/>
  <c r="AL35" i="9"/>
  <c r="H32" i="9"/>
  <c r="C32" i="10"/>
  <c r="AJ37" i="10"/>
  <c r="AK36" i="10"/>
  <c r="A35" i="10"/>
  <c r="E35" i="10" s="1"/>
  <c r="F33" i="9"/>
  <c r="A35" i="9"/>
  <c r="G35" i="9" s="1"/>
  <c r="C34" i="9"/>
  <c r="E34" i="9"/>
  <c r="B34" i="9"/>
  <c r="D34" i="9"/>
  <c r="AM35" i="9" l="1"/>
  <c r="AL36" i="9"/>
  <c r="H33" i="9"/>
  <c r="C33" i="10"/>
  <c r="A36" i="10"/>
  <c r="E36" i="10" s="1"/>
  <c r="AJ38" i="10"/>
  <c r="AK37" i="10"/>
  <c r="F34" i="9"/>
  <c r="A36" i="9"/>
  <c r="G36" i="9" s="1"/>
  <c r="E35" i="9"/>
  <c r="D35" i="9"/>
  <c r="C35" i="9"/>
  <c r="B35" i="9"/>
  <c r="AL37" i="9" l="1"/>
  <c r="AM36" i="9"/>
  <c r="H34" i="9"/>
  <c r="C34" i="10"/>
  <c r="AK38" i="10"/>
  <c r="AJ39" i="10"/>
  <c r="A37" i="10"/>
  <c r="E37" i="10" s="1"/>
  <c r="F35" i="9"/>
  <c r="A37" i="9"/>
  <c r="G37" i="9" s="1"/>
  <c r="B36" i="9"/>
  <c r="D36" i="9"/>
  <c r="E36" i="9"/>
  <c r="C36" i="9"/>
  <c r="AL38" i="9" l="1"/>
  <c r="AM37" i="9"/>
  <c r="H35" i="9"/>
  <c r="C35" i="10"/>
  <c r="A38" i="10"/>
  <c r="E38" i="10" s="1"/>
  <c r="AJ40" i="10"/>
  <c r="AK39" i="10"/>
  <c r="F36" i="9"/>
  <c r="A38" i="9"/>
  <c r="G38" i="9" s="1"/>
  <c r="C37" i="9"/>
  <c r="E37" i="9"/>
  <c r="B37" i="9"/>
  <c r="D37" i="9"/>
  <c r="AM38" i="9" l="1"/>
  <c r="AL39" i="9"/>
  <c r="H36" i="9"/>
  <c r="C36" i="10"/>
  <c r="AJ41" i="10"/>
  <c r="AK40" i="10"/>
  <c r="A39" i="10"/>
  <c r="E39" i="10" s="1"/>
  <c r="F37" i="9"/>
  <c r="A39" i="9"/>
  <c r="G39" i="9" s="1"/>
  <c r="E38" i="9"/>
  <c r="B38" i="9"/>
  <c r="D38" i="9"/>
  <c r="C38" i="9"/>
  <c r="AL40" i="9" l="1"/>
  <c r="AM39" i="9"/>
  <c r="H37" i="9"/>
  <c r="C37" i="10"/>
  <c r="A40" i="10"/>
  <c r="E40" i="10" s="1"/>
  <c r="AK41" i="10"/>
  <c r="AJ42" i="10"/>
  <c r="F38" i="9"/>
  <c r="A40" i="9"/>
  <c r="G40" i="9" s="1"/>
  <c r="E39" i="9"/>
  <c r="C39" i="9"/>
  <c r="D39" i="9"/>
  <c r="B39" i="9"/>
  <c r="AL41" i="9" l="1"/>
  <c r="AM40" i="9"/>
  <c r="H38" i="9"/>
  <c r="C38" i="10"/>
  <c r="A41" i="10"/>
  <c r="E41" i="10" s="1"/>
  <c r="AJ43" i="10"/>
  <c r="AK42" i="10"/>
  <c r="A41" i="9"/>
  <c r="G41" i="9" s="1"/>
  <c r="B40" i="9"/>
  <c r="E40" i="9"/>
  <c r="C40" i="9"/>
  <c r="D40" i="9"/>
  <c r="F39" i="9"/>
  <c r="AM41" i="9" l="1"/>
  <c r="AL42" i="9"/>
  <c r="H39" i="9"/>
  <c r="C39" i="10"/>
  <c r="AJ44" i="10"/>
  <c r="AK43" i="10"/>
  <c r="A42" i="10"/>
  <c r="E42" i="10" s="1"/>
  <c r="F40" i="9"/>
  <c r="A42" i="9"/>
  <c r="G42" i="9" s="1"/>
  <c r="D41" i="9"/>
  <c r="B41" i="9"/>
  <c r="C41" i="9"/>
  <c r="E41" i="9"/>
  <c r="AM42" i="9" l="1"/>
  <c r="AL43" i="9"/>
  <c r="H40" i="9"/>
  <c r="C40" i="10"/>
  <c r="A43" i="10"/>
  <c r="E43" i="10" s="1"/>
  <c r="AK44" i="10"/>
  <c r="AJ45" i="10"/>
  <c r="F41" i="9"/>
  <c r="A43" i="9"/>
  <c r="G43" i="9" s="1"/>
  <c r="E42" i="9"/>
  <c r="D42" i="9"/>
  <c r="C42" i="9"/>
  <c r="B42" i="9"/>
  <c r="AM43" i="9" l="1"/>
  <c r="AL44" i="9"/>
  <c r="H41" i="9"/>
  <c r="C41" i="10"/>
  <c r="A44" i="10"/>
  <c r="E44" i="10" s="1"/>
  <c r="AK45" i="10"/>
  <c r="AJ46" i="10"/>
  <c r="A44" i="9"/>
  <c r="G44" i="9" s="1"/>
  <c r="B43" i="9"/>
  <c r="D43" i="9"/>
  <c r="E43" i="9"/>
  <c r="C43" i="9"/>
  <c r="F42" i="9"/>
  <c r="AM44" i="9" l="1"/>
  <c r="AL45" i="9"/>
  <c r="H42" i="9"/>
  <c r="C42" i="10"/>
  <c r="AJ47" i="10"/>
  <c r="AK46" i="10"/>
  <c r="A45" i="10"/>
  <c r="E45" i="10" s="1"/>
  <c r="A45" i="9"/>
  <c r="G45" i="9" s="1"/>
  <c r="E44" i="9"/>
  <c r="B44" i="9"/>
  <c r="C44" i="9"/>
  <c r="D44" i="9"/>
  <c r="F43" i="9"/>
  <c r="AL46" i="9" l="1"/>
  <c r="AM45" i="9"/>
  <c r="H43" i="9"/>
  <c r="C43" i="10"/>
  <c r="A46" i="10"/>
  <c r="E46" i="10" s="1"/>
  <c r="AJ48" i="10"/>
  <c r="AK47" i="10"/>
  <c r="F44" i="9"/>
  <c r="A46" i="9"/>
  <c r="G46" i="9" s="1"/>
  <c r="C45" i="9"/>
  <c r="B45" i="9"/>
  <c r="E45" i="9"/>
  <c r="D45" i="9"/>
  <c r="AL47" i="9" l="1"/>
  <c r="AM46" i="9"/>
  <c r="H44" i="9"/>
  <c r="C44" i="10"/>
  <c r="AJ49" i="10"/>
  <c r="AK48" i="10"/>
  <c r="A47" i="10"/>
  <c r="E47" i="10" s="1"/>
  <c r="F45" i="9"/>
  <c r="A47" i="9"/>
  <c r="G47" i="9" s="1"/>
  <c r="D46" i="9"/>
  <c r="E46" i="9"/>
  <c r="C46" i="9"/>
  <c r="B46" i="9"/>
  <c r="AM47" i="9" l="1"/>
  <c r="AL48" i="9"/>
  <c r="H45" i="9"/>
  <c r="C45" i="10"/>
  <c r="A48" i="10"/>
  <c r="E48" i="10" s="1"/>
  <c r="AK49" i="10"/>
  <c r="AJ50" i="10"/>
  <c r="F46" i="9"/>
  <c r="A48" i="9"/>
  <c r="G48" i="9" s="1"/>
  <c r="B47" i="9"/>
  <c r="C47" i="9"/>
  <c r="D47" i="9"/>
  <c r="E47" i="9"/>
  <c r="AL49" i="9" l="1"/>
  <c r="AM48" i="9"/>
  <c r="H46" i="9"/>
  <c r="C46" i="10"/>
  <c r="AJ51" i="10"/>
  <c r="AK50" i="10"/>
  <c r="A49" i="10"/>
  <c r="E49" i="10" s="1"/>
  <c r="F47" i="9"/>
  <c r="A49" i="9"/>
  <c r="G49" i="9" s="1"/>
  <c r="D48" i="9"/>
  <c r="E48" i="9"/>
  <c r="C48" i="9"/>
  <c r="B48" i="9"/>
  <c r="AM49" i="9" l="1"/>
  <c r="AL50" i="9"/>
  <c r="H47" i="9"/>
  <c r="C47" i="10"/>
  <c r="A50" i="10"/>
  <c r="E50" i="10" s="1"/>
  <c r="AJ52" i="10"/>
  <c r="AK51" i="10"/>
  <c r="F48" i="9"/>
  <c r="A50" i="9"/>
  <c r="G50" i="9" s="1"/>
  <c r="B49" i="9"/>
  <c r="C49" i="9"/>
  <c r="D49" i="9"/>
  <c r="E49" i="9"/>
  <c r="AM50" i="9" l="1"/>
  <c r="AL51" i="9"/>
  <c r="H48" i="9"/>
  <c r="C48" i="10"/>
  <c r="AJ53" i="10"/>
  <c r="AK52" i="10"/>
  <c r="A51" i="10"/>
  <c r="E51" i="10" s="1"/>
  <c r="A51" i="9"/>
  <c r="G51" i="9" s="1"/>
  <c r="D50" i="9"/>
  <c r="B50" i="9"/>
  <c r="C50" i="9"/>
  <c r="E50" i="9"/>
  <c r="F49" i="9"/>
  <c r="AL52" i="9" l="1"/>
  <c r="AM51" i="9"/>
  <c r="H49" i="9"/>
  <c r="C49" i="10"/>
  <c r="A52" i="10"/>
  <c r="E52" i="10" s="1"/>
  <c r="AJ54" i="10"/>
  <c r="AK53" i="10"/>
  <c r="F50" i="9"/>
  <c r="A52" i="9"/>
  <c r="G52" i="9" s="1"/>
  <c r="B51" i="9"/>
  <c r="D51" i="9"/>
  <c r="C51" i="9"/>
  <c r="E51" i="9"/>
  <c r="AL53" i="9" l="1"/>
  <c r="AM52" i="9"/>
  <c r="H50" i="9"/>
  <c r="C50" i="10"/>
  <c r="A53" i="10"/>
  <c r="E53" i="10" s="1"/>
  <c r="AJ55" i="10"/>
  <c r="AK54" i="10"/>
  <c r="F51" i="9"/>
  <c r="A53" i="9"/>
  <c r="G53" i="9" s="1"/>
  <c r="B52" i="9"/>
  <c r="E52" i="9"/>
  <c r="C52" i="9"/>
  <c r="D52" i="9"/>
  <c r="AL54" i="9" l="1"/>
  <c r="AM53" i="9"/>
  <c r="H51" i="9"/>
  <c r="C51" i="10"/>
  <c r="AJ56" i="10"/>
  <c r="AK55" i="10"/>
  <c r="A54" i="10"/>
  <c r="E54" i="10" s="1"/>
  <c r="A54" i="9"/>
  <c r="G54" i="9" s="1"/>
  <c r="D53" i="9"/>
  <c r="E53" i="9"/>
  <c r="B53" i="9"/>
  <c r="C53" i="9"/>
  <c r="F52" i="9"/>
  <c r="AM54" i="9" l="1"/>
  <c r="AL55" i="9"/>
  <c r="H52" i="9"/>
  <c r="C52" i="10"/>
  <c r="A55" i="10"/>
  <c r="E55" i="10" s="1"/>
  <c r="AK56" i="10"/>
  <c r="AJ57" i="10"/>
  <c r="F53" i="9"/>
  <c r="A55" i="9"/>
  <c r="G55" i="9" s="1"/>
  <c r="B54" i="9"/>
  <c r="C54" i="9"/>
  <c r="D54" i="9"/>
  <c r="E54" i="9"/>
  <c r="AM55" i="9" l="1"/>
  <c r="AL56" i="9"/>
  <c r="H53" i="9"/>
  <c r="C53" i="10"/>
  <c r="A56" i="10"/>
  <c r="E56" i="10" s="1"/>
  <c r="AK57" i="10"/>
  <c r="AJ58" i="10"/>
  <c r="F54" i="9"/>
  <c r="A56" i="9"/>
  <c r="G56" i="9" s="1"/>
  <c r="C55" i="9"/>
  <c r="E55" i="9"/>
  <c r="D55" i="9"/>
  <c r="B55" i="9"/>
  <c r="AL57" i="9" l="1"/>
  <c r="AM56" i="9"/>
  <c r="H54" i="9"/>
  <c r="C54" i="10"/>
  <c r="AJ59" i="10"/>
  <c r="AK58" i="10"/>
  <c r="A57" i="10"/>
  <c r="E57" i="10" s="1"/>
  <c r="A57" i="9"/>
  <c r="G57" i="9" s="1"/>
  <c r="D56" i="9"/>
  <c r="B56" i="9"/>
  <c r="E56" i="9"/>
  <c r="C56" i="9"/>
  <c r="F55" i="9"/>
  <c r="AL58" i="9" l="1"/>
  <c r="AM57" i="9"/>
  <c r="H55" i="9"/>
  <c r="C55" i="10"/>
  <c r="AJ60" i="10"/>
  <c r="AK59" i="10"/>
  <c r="A58" i="10"/>
  <c r="E58" i="10" s="1"/>
  <c r="F56" i="9"/>
  <c r="A58" i="9"/>
  <c r="G58" i="9" s="1"/>
  <c r="B57" i="9"/>
  <c r="C57" i="9"/>
  <c r="E57" i="9"/>
  <c r="D57" i="9"/>
  <c r="AM58" i="9" l="1"/>
  <c r="AL59" i="9"/>
  <c r="H56" i="9"/>
  <c r="C56" i="10"/>
  <c r="A59" i="10"/>
  <c r="E59" i="10" s="1"/>
  <c r="AJ61" i="10"/>
  <c r="AK60" i="10"/>
  <c r="F57" i="9"/>
  <c r="A59" i="9"/>
  <c r="G59" i="9" s="1"/>
  <c r="C58" i="9"/>
  <c r="B58" i="9"/>
  <c r="E58" i="9"/>
  <c r="D58" i="9"/>
  <c r="AM59" i="9" l="1"/>
  <c r="AL60" i="9"/>
  <c r="H57" i="9"/>
  <c r="C57" i="10"/>
  <c r="A60" i="10"/>
  <c r="E60" i="10" s="1"/>
  <c r="AJ62" i="10"/>
  <c r="AK61" i="10"/>
  <c r="F58" i="9"/>
  <c r="A60" i="9"/>
  <c r="G60" i="9" s="1"/>
  <c r="C59" i="9"/>
  <c r="E59" i="9"/>
  <c r="D59" i="9"/>
  <c r="B59" i="9"/>
  <c r="AL61" i="9" l="1"/>
  <c r="AM60" i="9"/>
  <c r="H58" i="9"/>
  <c r="C58" i="10"/>
  <c r="AJ63" i="10"/>
  <c r="AK62" i="10"/>
  <c r="A61" i="10"/>
  <c r="E61" i="10" s="1"/>
  <c r="A61" i="9"/>
  <c r="G61" i="9" s="1"/>
  <c r="E60" i="9"/>
  <c r="C60" i="9"/>
  <c r="D60" i="9"/>
  <c r="B60" i="9"/>
  <c r="F59" i="9"/>
  <c r="AL62" i="9" l="1"/>
  <c r="AM61" i="9"/>
  <c r="H59" i="9"/>
  <c r="C59" i="10"/>
  <c r="A62" i="10"/>
  <c r="E62" i="10" s="1"/>
  <c r="AJ64" i="10"/>
  <c r="AK63" i="10"/>
  <c r="F60" i="9"/>
  <c r="A62" i="9"/>
  <c r="G62" i="9" s="1"/>
  <c r="D61" i="9"/>
  <c r="E61" i="9"/>
  <c r="C61" i="9"/>
  <c r="B61" i="9"/>
  <c r="AM62" i="9" l="1"/>
  <c r="AL63" i="9"/>
  <c r="H60" i="9"/>
  <c r="C60" i="10"/>
  <c r="AJ65" i="10"/>
  <c r="AK64" i="10"/>
  <c r="A63" i="10"/>
  <c r="E63" i="10" s="1"/>
  <c r="F61" i="9"/>
  <c r="A63" i="9"/>
  <c r="G63" i="9" s="1"/>
  <c r="B62" i="9"/>
  <c r="E62" i="9"/>
  <c r="C62" i="9"/>
  <c r="D62" i="9"/>
  <c r="AL64" i="9" l="1"/>
  <c r="AM63" i="9"/>
  <c r="H61" i="9"/>
  <c r="C61" i="10"/>
  <c r="A64" i="10"/>
  <c r="E64" i="10" s="1"/>
  <c r="AJ66" i="10"/>
  <c r="AK65" i="10"/>
  <c r="A64" i="9"/>
  <c r="G64" i="9" s="1"/>
  <c r="D63" i="9"/>
  <c r="E63" i="9"/>
  <c r="C63" i="9"/>
  <c r="B63" i="9"/>
  <c r="F62" i="9"/>
  <c r="AM64" i="9" l="1"/>
  <c r="AL65" i="9"/>
  <c r="H62" i="9"/>
  <c r="C62" i="10"/>
  <c r="A65" i="10"/>
  <c r="E65" i="10" s="1"/>
  <c r="AJ67" i="10"/>
  <c r="AK66" i="10"/>
  <c r="F63" i="9"/>
  <c r="A65" i="9"/>
  <c r="G65" i="9" s="1"/>
  <c r="E64" i="9"/>
  <c r="D64" i="9"/>
  <c r="B64" i="9"/>
  <c r="C64" i="9"/>
  <c r="AL66" i="9" l="1"/>
  <c r="AM65" i="9"/>
  <c r="H63" i="9"/>
  <c r="C63" i="10"/>
  <c r="AJ68" i="10"/>
  <c r="AK67" i="10"/>
  <c r="A66" i="10"/>
  <c r="E66" i="10" s="1"/>
  <c r="A66" i="9"/>
  <c r="G66" i="9" s="1"/>
  <c r="C65" i="9"/>
  <c r="E65" i="9"/>
  <c r="D65" i="9"/>
  <c r="B65" i="9"/>
  <c r="F64" i="9"/>
  <c r="AM66" i="9" l="1"/>
  <c r="AL67" i="9"/>
  <c r="H64" i="9"/>
  <c r="C64" i="10"/>
  <c r="A67" i="10"/>
  <c r="E67" i="10" s="1"/>
  <c r="AK68" i="10"/>
  <c r="AJ69" i="10"/>
  <c r="A67" i="9"/>
  <c r="G67" i="9" s="1"/>
  <c r="B66" i="9"/>
  <c r="E66" i="9"/>
  <c r="D66" i="9"/>
  <c r="C66" i="9"/>
  <c r="F65" i="9"/>
  <c r="AM67" i="9" l="1"/>
  <c r="AL68" i="9"/>
  <c r="H65" i="9"/>
  <c r="C65" i="10"/>
  <c r="A68" i="10"/>
  <c r="E68" i="10" s="1"/>
  <c r="AJ70" i="10"/>
  <c r="AK69" i="10"/>
  <c r="F66" i="9"/>
  <c r="A68" i="9"/>
  <c r="G68" i="9" s="1"/>
  <c r="E67" i="9"/>
  <c r="B67" i="9"/>
  <c r="D67" i="9"/>
  <c r="C67" i="9"/>
  <c r="AM68" i="9" l="1"/>
  <c r="AL69" i="9"/>
  <c r="H66" i="9"/>
  <c r="C66" i="10"/>
  <c r="AJ71" i="10"/>
  <c r="AK70" i="10"/>
  <c r="A69" i="10"/>
  <c r="E69" i="10" s="1"/>
  <c r="F67" i="9"/>
  <c r="A69" i="9"/>
  <c r="G69" i="9" s="1"/>
  <c r="D68" i="9"/>
  <c r="C68" i="9"/>
  <c r="E68" i="9"/>
  <c r="B68" i="9"/>
  <c r="AL70" i="9" l="1"/>
  <c r="AM69" i="9"/>
  <c r="H67" i="9"/>
  <c r="C67" i="10"/>
  <c r="A70" i="10"/>
  <c r="E70" i="10" s="1"/>
  <c r="AJ72" i="10"/>
  <c r="AK71" i="10"/>
  <c r="A70" i="9"/>
  <c r="G70" i="9" s="1"/>
  <c r="E69" i="9"/>
  <c r="D69" i="9"/>
  <c r="C69" i="9"/>
  <c r="B69" i="9"/>
  <c r="F68" i="9"/>
  <c r="AM70" i="9" l="1"/>
  <c r="AL71" i="9"/>
  <c r="H68" i="9"/>
  <c r="C68" i="10"/>
  <c r="A71" i="10"/>
  <c r="E71" i="10" s="1"/>
  <c r="AK72" i="10"/>
  <c r="AJ73" i="10"/>
  <c r="F69" i="9"/>
  <c r="A71" i="9"/>
  <c r="G71" i="9" s="1"/>
  <c r="B70" i="9"/>
  <c r="E70" i="9"/>
  <c r="D70" i="9"/>
  <c r="C70" i="9"/>
  <c r="AL72" i="9" l="1"/>
  <c r="AM71" i="9"/>
  <c r="H69" i="9"/>
  <c r="C69" i="10"/>
  <c r="AK73" i="10"/>
  <c r="AJ74" i="10"/>
  <c r="A72" i="10"/>
  <c r="E72" i="10" s="1"/>
  <c r="F70" i="9"/>
  <c r="A72" i="9"/>
  <c r="G72" i="9" s="1"/>
  <c r="E71" i="9"/>
  <c r="B71" i="9"/>
  <c r="D71" i="9"/>
  <c r="C71" i="9"/>
  <c r="AM72" i="9" l="1"/>
  <c r="AL73" i="9"/>
  <c r="H70" i="9"/>
  <c r="C70" i="10"/>
  <c r="A73" i="10"/>
  <c r="E73" i="10" s="1"/>
  <c r="AK74" i="10"/>
  <c r="AJ75" i="10"/>
  <c r="F71" i="9"/>
  <c r="A73" i="9"/>
  <c r="G73" i="9" s="1"/>
  <c r="E72" i="9"/>
  <c r="B72" i="9"/>
  <c r="D72" i="9"/>
  <c r="C72" i="9"/>
  <c r="AM73" i="9" l="1"/>
  <c r="AL74" i="9"/>
  <c r="H71" i="9"/>
  <c r="C71" i="10"/>
  <c r="A74" i="10"/>
  <c r="E74" i="10" s="1"/>
  <c r="AJ76" i="10"/>
  <c r="AK75" i="10"/>
  <c r="F72" i="9"/>
  <c r="A74" i="9"/>
  <c r="G74" i="9" s="1"/>
  <c r="E73" i="9"/>
  <c r="C73" i="9"/>
  <c r="B73" i="9"/>
  <c r="D73" i="9"/>
  <c r="AM74" i="9" l="1"/>
  <c r="AL75" i="9"/>
  <c r="H72" i="9"/>
  <c r="C72" i="10"/>
  <c r="AK76" i="10"/>
  <c r="AJ77" i="10"/>
  <c r="A75" i="10"/>
  <c r="E75" i="10" s="1"/>
  <c r="F73" i="9"/>
  <c r="A75" i="9"/>
  <c r="G75" i="9" s="1"/>
  <c r="E74" i="9"/>
  <c r="D74" i="9"/>
  <c r="C74" i="9"/>
  <c r="B74" i="9"/>
  <c r="AL76" i="9" l="1"/>
  <c r="AM75" i="9"/>
  <c r="H73" i="9"/>
  <c r="C73" i="10"/>
  <c r="A76" i="10"/>
  <c r="E76" i="10" s="1"/>
  <c r="AK77" i="10"/>
  <c r="AJ78" i="10"/>
  <c r="F74" i="9"/>
  <c r="A76" i="9"/>
  <c r="G76" i="9" s="1"/>
  <c r="E75" i="9"/>
  <c r="B75" i="9"/>
  <c r="D75" i="9"/>
  <c r="C75" i="9"/>
  <c r="AM76" i="9" l="1"/>
  <c r="AL77" i="9"/>
  <c r="H74" i="9"/>
  <c r="C74" i="10"/>
  <c r="AK78" i="10"/>
  <c r="AJ79" i="10"/>
  <c r="A77" i="10"/>
  <c r="E77" i="10" s="1"/>
  <c r="F75" i="9"/>
  <c r="A77" i="9"/>
  <c r="G77" i="9" s="1"/>
  <c r="B76" i="9"/>
  <c r="D76" i="9"/>
  <c r="E76" i="9"/>
  <c r="C76" i="9"/>
  <c r="AM77" i="9" l="1"/>
  <c r="AL78" i="9"/>
  <c r="H75" i="9"/>
  <c r="C75" i="10"/>
  <c r="A78" i="10"/>
  <c r="E78" i="10" s="1"/>
  <c r="AJ80" i="10"/>
  <c r="AK79" i="10"/>
  <c r="A78" i="9"/>
  <c r="G78" i="9" s="1"/>
  <c r="D77" i="9"/>
  <c r="B77" i="9"/>
  <c r="C77" i="9"/>
  <c r="E77" i="9"/>
  <c r="F76" i="9"/>
  <c r="AM78" i="9" l="1"/>
  <c r="AL79" i="9"/>
  <c r="H76" i="9"/>
  <c r="C76" i="10"/>
  <c r="A79" i="10"/>
  <c r="E79" i="10" s="1"/>
  <c r="AK80" i="10"/>
  <c r="AJ81" i="10"/>
  <c r="F77" i="9"/>
  <c r="A79" i="9"/>
  <c r="G79" i="9" s="1"/>
  <c r="D78" i="9"/>
  <c r="E78" i="9"/>
  <c r="B78" i="9"/>
  <c r="C78" i="9"/>
  <c r="AM79" i="9" l="1"/>
  <c r="AL80" i="9"/>
  <c r="H77" i="9"/>
  <c r="C77" i="10"/>
  <c r="AK81" i="10"/>
  <c r="AJ82" i="10"/>
  <c r="A80" i="10"/>
  <c r="E80" i="10" s="1"/>
  <c r="F78" i="9"/>
  <c r="A80" i="9"/>
  <c r="G80" i="9" s="1"/>
  <c r="E79" i="9"/>
  <c r="B79" i="9"/>
  <c r="D79" i="9"/>
  <c r="C79" i="9"/>
  <c r="AL81" i="9" l="1"/>
  <c r="AM80" i="9"/>
  <c r="H78" i="9"/>
  <c r="C78" i="10"/>
  <c r="A81" i="10"/>
  <c r="E81" i="10" s="1"/>
  <c r="AJ83" i="10"/>
  <c r="AK82" i="10"/>
  <c r="F79" i="9"/>
  <c r="A81" i="9"/>
  <c r="G81" i="9" s="1"/>
  <c r="C80" i="9"/>
  <c r="E80" i="9"/>
  <c r="B80" i="9"/>
  <c r="D80" i="9"/>
  <c r="AL82" i="9" l="1"/>
  <c r="AM81" i="9"/>
  <c r="H79" i="9"/>
  <c r="C79" i="10"/>
  <c r="AJ84" i="10"/>
  <c r="AK83" i="10"/>
  <c r="A82" i="10"/>
  <c r="E82" i="10" s="1"/>
  <c r="F80" i="9"/>
  <c r="A82" i="9"/>
  <c r="G82" i="9" s="1"/>
  <c r="C81" i="9"/>
  <c r="D81" i="9"/>
  <c r="E81" i="9"/>
  <c r="B81" i="9"/>
  <c r="AM82" i="9" l="1"/>
  <c r="AL83" i="9"/>
  <c r="H80" i="9"/>
  <c r="C80" i="10"/>
  <c r="A83" i="10"/>
  <c r="E83" i="10" s="1"/>
  <c r="AK84" i="10"/>
  <c r="AJ85" i="10"/>
  <c r="A83" i="9"/>
  <c r="G83" i="9" s="1"/>
  <c r="D82" i="9"/>
  <c r="C82" i="9"/>
  <c r="B82" i="9"/>
  <c r="E82" i="9"/>
  <c r="F81" i="9"/>
  <c r="AM83" i="9" l="1"/>
  <c r="AL84" i="9"/>
  <c r="H81" i="9"/>
  <c r="C81" i="10"/>
  <c r="A84" i="10"/>
  <c r="E84" i="10" s="1"/>
  <c r="AJ86" i="10"/>
  <c r="AK85" i="10"/>
  <c r="F82" i="9"/>
  <c r="A84" i="9"/>
  <c r="G84" i="9" s="1"/>
  <c r="B83" i="9"/>
  <c r="C83" i="9"/>
  <c r="D83" i="9"/>
  <c r="E83" i="9"/>
  <c r="AL85" i="9" l="1"/>
  <c r="AM84" i="9"/>
  <c r="H82" i="9"/>
  <c r="C82" i="10"/>
  <c r="AJ87" i="10"/>
  <c r="AK86" i="10"/>
  <c r="A85" i="10"/>
  <c r="E85" i="10" s="1"/>
  <c r="A85" i="9"/>
  <c r="G85" i="9" s="1"/>
  <c r="D84" i="9"/>
  <c r="E84" i="9"/>
  <c r="B84" i="9"/>
  <c r="C84" i="9"/>
  <c r="F83" i="9"/>
  <c r="AM85" i="9" l="1"/>
  <c r="AL86" i="9"/>
  <c r="H83" i="9"/>
  <c r="C83" i="10"/>
  <c r="A86" i="10"/>
  <c r="E86" i="10" s="1"/>
  <c r="AJ88" i="10"/>
  <c r="AK87" i="10"/>
  <c r="F84" i="9"/>
  <c r="A86" i="9"/>
  <c r="G86" i="9" s="1"/>
  <c r="C85" i="9"/>
  <c r="D85" i="9"/>
  <c r="E85" i="9"/>
  <c r="B85" i="9"/>
  <c r="AM86" i="9" l="1"/>
  <c r="AL87" i="9"/>
  <c r="H84" i="9"/>
  <c r="C84" i="10"/>
  <c r="AK88" i="10"/>
  <c r="AJ89" i="10"/>
  <c r="A87" i="10"/>
  <c r="E87" i="10" s="1"/>
  <c r="F85" i="9"/>
  <c r="A87" i="9"/>
  <c r="G87" i="9" s="1"/>
  <c r="B86" i="9"/>
  <c r="C86" i="9"/>
  <c r="D86" i="9"/>
  <c r="E86" i="9"/>
  <c r="AL88" i="9" l="1"/>
  <c r="AM87" i="9"/>
  <c r="H85" i="9"/>
  <c r="C85" i="10"/>
  <c r="A88" i="10"/>
  <c r="E88" i="10" s="1"/>
  <c r="AK89" i="10"/>
  <c r="AJ90" i="10"/>
  <c r="F86" i="9"/>
  <c r="A88" i="9"/>
  <c r="G88" i="9" s="1"/>
  <c r="C87" i="9"/>
  <c r="D87" i="9"/>
  <c r="E87" i="9"/>
  <c r="B87" i="9"/>
  <c r="AL89" i="9" l="1"/>
  <c r="AM88" i="9"/>
  <c r="H86" i="9"/>
  <c r="C86" i="10"/>
  <c r="AK90" i="10"/>
  <c r="AJ91" i="10"/>
  <c r="A89" i="10"/>
  <c r="E89" i="10" s="1"/>
  <c r="A89" i="9"/>
  <c r="G89" i="9" s="1"/>
  <c r="C88" i="9"/>
  <c r="B88" i="9"/>
  <c r="E88" i="9"/>
  <c r="D88" i="9"/>
  <c r="F87" i="9"/>
  <c r="AL90" i="9" l="1"/>
  <c r="AM89" i="9"/>
  <c r="H87" i="9"/>
  <c r="C87" i="10"/>
  <c r="A90" i="10"/>
  <c r="E90" i="10" s="1"/>
  <c r="AJ92" i="10"/>
  <c r="AK91" i="10"/>
  <c r="F88" i="9"/>
  <c r="A90" i="9"/>
  <c r="G90" i="9" s="1"/>
  <c r="B89" i="9"/>
  <c r="D89" i="9"/>
  <c r="C89" i="9"/>
  <c r="E89" i="9"/>
  <c r="AM90" i="9" l="1"/>
  <c r="AL91" i="9"/>
  <c r="H88" i="9"/>
  <c r="C88" i="10"/>
  <c r="AK92" i="10"/>
  <c r="AJ93" i="10"/>
  <c r="A91" i="10"/>
  <c r="E91" i="10" s="1"/>
  <c r="F89" i="9"/>
  <c r="A91" i="9"/>
  <c r="G91" i="9" s="1"/>
  <c r="C90" i="9"/>
  <c r="B90" i="9"/>
  <c r="E90" i="9"/>
  <c r="D90" i="9"/>
  <c r="AM91" i="9" l="1"/>
  <c r="AL92" i="9"/>
  <c r="H89" i="9"/>
  <c r="C89" i="10"/>
  <c r="A92" i="10"/>
  <c r="E92" i="10" s="1"/>
  <c r="AK93" i="10"/>
  <c r="AJ94" i="10"/>
  <c r="F90" i="9"/>
  <c r="A92" i="9"/>
  <c r="G92" i="9" s="1"/>
  <c r="C91" i="9"/>
  <c r="D91" i="9"/>
  <c r="E91" i="9"/>
  <c r="B91" i="9"/>
  <c r="AL93" i="9" l="1"/>
  <c r="AM92" i="9"/>
  <c r="H90" i="9"/>
  <c r="C90" i="10"/>
  <c r="A93" i="10"/>
  <c r="E93" i="10" s="1"/>
  <c r="AK94" i="10"/>
  <c r="AJ95" i="10"/>
  <c r="F91" i="9"/>
  <c r="A93" i="9"/>
  <c r="G93" i="9" s="1"/>
  <c r="B92" i="9"/>
  <c r="C92" i="9"/>
  <c r="D92" i="9"/>
  <c r="E92" i="9"/>
  <c r="AL94" i="9" l="1"/>
  <c r="AM93" i="9"/>
  <c r="H91" i="9"/>
  <c r="C91" i="10"/>
  <c r="A94" i="10"/>
  <c r="E94" i="10" s="1"/>
  <c r="AJ96" i="10"/>
  <c r="AK95" i="10"/>
  <c r="F92" i="9"/>
  <c r="A94" i="9"/>
  <c r="G94" i="9" s="1"/>
  <c r="E93" i="9"/>
  <c r="D93" i="9"/>
  <c r="B93" i="9"/>
  <c r="C93" i="9"/>
  <c r="AM94" i="9" l="1"/>
  <c r="AL95" i="9"/>
  <c r="H92" i="9"/>
  <c r="C92" i="10"/>
  <c r="AK96" i="10"/>
  <c r="AJ97" i="10"/>
  <c r="A95" i="10"/>
  <c r="E95" i="10" s="1"/>
  <c r="F93" i="9"/>
  <c r="A95" i="9"/>
  <c r="G95" i="9" s="1"/>
  <c r="B94" i="9"/>
  <c r="C94" i="9"/>
  <c r="E94" i="9"/>
  <c r="D94" i="9"/>
  <c r="AM95" i="9" l="1"/>
  <c r="AL96" i="9"/>
  <c r="H93" i="9"/>
  <c r="C93" i="10"/>
  <c r="A96" i="10"/>
  <c r="E96" i="10" s="1"/>
  <c r="AJ98" i="10"/>
  <c r="AK97" i="10"/>
  <c r="F94" i="9"/>
  <c r="A96" i="9"/>
  <c r="G96" i="9" s="1"/>
  <c r="D95" i="9"/>
  <c r="B95" i="9"/>
  <c r="E95" i="9"/>
  <c r="C95" i="9"/>
  <c r="AL97" i="9" l="1"/>
  <c r="AM96" i="9"/>
  <c r="H94" i="9"/>
  <c r="C94" i="10"/>
  <c r="A97" i="10"/>
  <c r="E97" i="10" s="1"/>
  <c r="AK98" i="10"/>
  <c r="AJ99" i="10"/>
  <c r="F95" i="9"/>
  <c r="A97" i="9"/>
  <c r="G97" i="9" s="1"/>
  <c r="B96" i="9"/>
  <c r="E96" i="9"/>
  <c r="C96" i="9"/>
  <c r="D96" i="9"/>
  <c r="AL98" i="9" l="1"/>
  <c r="AM97" i="9"/>
  <c r="H95" i="9"/>
  <c r="C95" i="10"/>
  <c r="AJ100" i="10"/>
  <c r="AK99" i="10"/>
  <c r="A98" i="10"/>
  <c r="E98" i="10" s="1"/>
  <c r="F96" i="9"/>
  <c r="A98" i="9"/>
  <c r="G98" i="9" s="1"/>
  <c r="B97" i="9"/>
  <c r="C97" i="9"/>
  <c r="E97" i="9"/>
  <c r="D97" i="9"/>
  <c r="AM98" i="9" l="1"/>
  <c r="AL99" i="9"/>
  <c r="H96" i="9"/>
  <c r="C96" i="10"/>
  <c r="A99" i="10"/>
  <c r="E99" i="10" s="1"/>
  <c r="AK100" i="10"/>
  <c r="AJ101" i="10"/>
  <c r="F97" i="9"/>
  <c r="A99" i="9"/>
  <c r="G99" i="9" s="1"/>
  <c r="B98" i="9"/>
  <c r="E98" i="9"/>
  <c r="D98" i="9"/>
  <c r="C98" i="9"/>
  <c r="AM99" i="9" l="1"/>
  <c r="AL100" i="9"/>
  <c r="H97" i="9"/>
  <c r="C97" i="10"/>
  <c r="A100" i="10"/>
  <c r="E100" i="10" s="1"/>
  <c r="AJ102" i="10"/>
  <c r="AK101" i="10"/>
  <c r="A100" i="9"/>
  <c r="G100" i="9" s="1"/>
  <c r="D99" i="9"/>
  <c r="B99" i="9"/>
  <c r="C99" i="9"/>
  <c r="E99" i="9"/>
  <c r="F98" i="9"/>
  <c r="AL101" i="9" l="1"/>
  <c r="AM100" i="9"/>
  <c r="H98" i="9"/>
  <c r="C98" i="10"/>
  <c r="AJ103" i="10"/>
  <c r="AK102" i="10"/>
  <c r="A101" i="10"/>
  <c r="E101" i="10" s="1"/>
  <c r="F99" i="9"/>
  <c r="A101" i="9"/>
  <c r="G101" i="9" s="1"/>
  <c r="D100" i="9"/>
  <c r="E100" i="9"/>
  <c r="C100" i="9"/>
  <c r="B100" i="9"/>
  <c r="AM101" i="9" l="1"/>
  <c r="AL102" i="9"/>
  <c r="H99" i="9"/>
  <c r="C99" i="10"/>
  <c r="A102" i="10"/>
  <c r="E102" i="10" s="1"/>
  <c r="AJ104" i="10"/>
  <c r="AK103" i="10"/>
  <c r="A102" i="9"/>
  <c r="G102" i="9" s="1"/>
  <c r="E101" i="9"/>
  <c r="B101" i="9"/>
  <c r="D101" i="9"/>
  <c r="C101" i="9"/>
  <c r="F100" i="9"/>
  <c r="AM102" i="9" l="1"/>
  <c r="AL103" i="9"/>
  <c r="H100" i="9"/>
  <c r="C100" i="10"/>
  <c r="AK104" i="10"/>
  <c r="AJ105" i="10"/>
  <c r="A103" i="10"/>
  <c r="E103" i="10" s="1"/>
  <c r="F101" i="9"/>
  <c r="A103" i="9"/>
  <c r="G103" i="9" s="1"/>
  <c r="E102" i="9"/>
  <c r="D102" i="9"/>
  <c r="B102" i="9"/>
  <c r="C102" i="9"/>
  <c r="AM103" i="9" l="1"/>
  <c r="AL104" i="9"/>
  <c r="H101" i="9"/>
  <c r="C101" i="10"/>
  <c r="A104" i="10"/>
  <c r="E104" i="10" s="1"/>
  <c r="AJ106" i="10"/>
  <c r="AK105" i="10"/>
  <c r="F102" i="9"/>
  <c r="A104" i="9"/>
  <c r="G104" i="9" s="1"/>
  <c r="B103" i="9"/>
  <c r="E103" i="9"/>
  <c r="C103" i="9"/>
  <c r="D103" i="9"/>
  <c r="AM104" i="9" l="1"/>
  <c r="AL105" i="9"/>
  <c r="H102" i="9"/>
  <c r="C102" i="10"/>
  <c r="AK106" i="10"/>
  <c r="AJ107" i="10"/>
  <c r="F103" i="9"/>
  <c r="E104" i="9"/>
  <c r="D104" i="9"/>
  <c r="B104" i="9"/>
  <c r="C104" i="9"/>
  <c r="AM105" i="9" l="1"/>
  <c r="AL106" i="9"/>
  <c r="H103" i="9"/>
  <c r="C103" i="10"/>
  <c r="AJ108" i="10"/>
  <c r="AK107" i="10"/>
  <c r="F104" i="9"/>
  <c r="AM106" i="9" l="1"/>
  <c r="AL107" i="9"/>
  <c r="H104" i="9"/>
  <c r="C104" i="10"/>
  <c r="AK108" i="10"/>
  <c r="AJ109" i="10"/>
  <c r="AM107" i="9" l="1"/>
  <c r="AL108" i="9"/>
  <c r="AJ110" i="10"/>
  <c r="AK109" i="10"/>
  <c r="AM108" i="9" l="1"/>
  <c r="AL109" i="9"/>
  <c r="AJ111" i="10"/>
  <c r="AK110" i="10"/>
  <c r="AL110" i="9" l="1"/>
  <c r="AM109" i="9"/>
  <c r="AJ112" i="10"/>
  <c r="AK111" i="10"/>
  <c r="AM110" i="9" l="1"/>
  <c r="AL111" i="9"/>
  <c r="AK112" i="10"/>
  <c r="AJ113" i="10"/>
  <c r="AL112" i="9" l="1"/>
  <c r="AM111" i="9"/>
  <c r="AJ114" i="10"/>
  <c r="AK113" i="10"/>
  <c r="AL113" i="9" l="1"/>
  <c r="AM112" i="9"/>
  <c r="AJ115" i="10"/>
  <c r="AK114" i="10"/>
  <c r="AM113" i="9" l="1"/>
  <c r="AL114" i="9"/>
  <c r="AJ116" i="10"/>
  <c r="AK115" i="10"/>
  <c r="AM114" i="9" l="1"/>
  <c r="AL115" i="9"/>
  <c r="AK116" i="10"/>
  <c r="AJ117" i="10"/>
  <c r="AL116" i="9" l="1"/>
  <c r="AM115" i="9"/>
  <c r="AJ118" i="10"/>
  <c r="AK117" i="10"/>
  <c r="AL117" i="9" l="1"/>
  <c r="AM116" i="9"/>
  <c r="AK118" i="10"/>
  <c r="AJ119" i="10"/>
  <c r="AM117" i="9" l="1"/>
  <c r="AL118" i="9"/>
  <c r="AJ120" i="10"/>
  <c r="AK119" i="10"/>
  <c r="AM118" i="9" l="1"/>
  <c r="AL119" i="9"/>
  <c r="AK120" i="10"/>
  <c r="AJ121" i="10"/>
  <c r="AM119" i="9" l="1"/>
  <c r="AL120" i="9"/>
  <c r="AJ122" i="10"/>
  <c r="AK121" i="10"/>
  <c r="AL121" i="9" l="1"/>
  <c r="AM120" i="9"/>
  <c r="AJ123" i="10"/>
  <c r="AK122" i="10"/>
  <c r="AM121" i="9" l="1"/>
  <c r="AL122" i="9"/>
  <c r="AJ124" i="10"/>
  <c r="AK123" i="10"/>
  <c r="AL123" i="9" l="1"/>
  <c r="AM122" i="9"/>
  <c r="AK124" i="10"/>
  <c r="AJ125" i="10"/>
  <c r="AM123" i="9" l="1"/>
  <c r="AL124" i="9"/>
  <c r="AK125" i="10"/>
  <c r="AJ126" i="10"/>
  <c r="AL125" i="9" l="1"/>
  <c r="AM124" i="9"/>
  <c r="AJ127" i="10"/>
  <c r="AK126" i="10"/>
  <c r="AL126" i="9" l="1"/>
  <c r="AM125" i="9"/>
  <c r="AJ128" i="10"/>
  <c r="AK128" i="10" s="1"/>
  <c r="AK127" i="10"/>
  <c r="AM126" i="9" l="1"/>
  <c r="AL127" i="9"/>
  <c r="F32" i="7"/>
  <c r="AM127" i="9" l="1"/>
  <c r="AL128" i="9"/>
  <c r="AM128" i="9" s="1"/>
  <c r="N11" i="5"/>
  <c r="N12" i="5" s="1"/>
  <c r="M11" i="5"/>
  <c r="M12" i="5" s="1"/>
  <c r="L11" i="5"/>
  <c r="L12" i="5" s="1"/>
  <c r="K11" i="5"/>
  <c r="AL6" i="5"/>
  <c r="AM5" i="5"/>
  <c r="A5" i="5"/>
  <c r="E1" i="5"/>
  <c r="D1" i="5"/>
  <c r="C1" i="5"/>
  <c r="B1" i="5"/>
  <c r="A5" i="3"/>
  <c r="G5" i="3" s="1"/>
  <c r="N11" i="3"/>
  <c r="M11" i="3"/>
  <c r="L11" i="3"/>
  <c r="K11" i="3"/>
  <c r="K12" i="3" s="1"/>
  <c r="AL6" i="3"/>
  <c r="AL7" i="3" s="1"/>
  <c r="AM5" i="3"/>
  <c r="E1" i="3"/>
  <c r="D1" i="3"/>
  <c r="C1" i="3"/>
  <c r="B1" i="3"/>
  <c r="AL7" i="5" l="1"/>
  <c r="AM6" i="5"/>
  <c r="A6" i="5"/>
  <c r="G6" i="5" s="1"/>
  <c r="G5" i="5"/>
  <c r="AL8" i="3"/>
  <c r="AM7" i="3"/>
  <c r="D5" i="5"/>
  <c r="N13" i="5"/>
  <c r="C6" i="5"/>
  <c r="B6" i="5"/>
  <c r="L13" i="5"/>
  <c r="K12" i="5"/>
  <c r="M13" i="5"/>
  <c r="B5" i="5"/>
  <c r="B4" i="5"/>
  <c r="A7" i="5"/>
  <c r="G7" i="5" s="1"/>
  <c r="C4" i="5"/>
  <c r="C5" i="5"/>
  <c r="AL8" i="5"/>
  <c r="AM7" i="5"/>
  <c r="E5" i="5"/>
  <c r="D6" i="5"/>
  <c r="E6" i="5"/>
  <c r="D4" i="5"/>
  <c r="E4" i="5"/>
  <c r="A6" i="3"/>
  <c r="N12" i="3"/>
  <c r="N13" i="3" s="1"/>
  <c r="E5" i="3"/>
  <c r="E4" i="3"/>
  <c r="D5" i="3"/>
  <c r="D4" i="3"/>
  <c r="L12" i="3"/>
  <c r="L13" i="3" s="1"/>
  <c r="M12" i="3"/>
  <c r="M13" i="3" s="1"/>
  <c r="B4" i="3"/>
  <c r="C4" i="3"/>
  <c r="K13" i="3"/>
  <c r="B5" i="3"/>
  <c r="C5" i="3"/>
  <c r="AM6" i="3"/>
  <c r="AL9" i="3" l="1"/>
  <c r="AL10" i="3" s="1"/>
  <c r="AM8" i="3"/>
  <c r="A7" i="3"/>
  <c r="G6" i="3"/>
  <c r="E7" i="5"/>
  <c r="D7" i="5"/>
  <c r="C7" i="5"/>
  <c r="K13" i="5"/>
  <c r="K20" i="3"/>
  <c r="F5" i="5"/>
  <c r="H5" i="5" s="1"/>
  <c r="F6" i="5"/>
  <c r="H6" i="5" s="1"/>
  <c r="AL9" i="5"/>
  <c r="AM8" i="5"/>
  <c r="F4" i="5"/>
  <c r="H4" i="5" s="1"/>
  <c r="A8" i="5"/>
  <c r="G8" i="5" s="1"/>
  <c r="B7" i="5"/>
  <c r="D6" i="3"/>
  <c r="C6" i="3"/>
  <c r="B6" i="3"/>
  <c r="E6" i="3"/>
  <c r="D7" i="3"/>
  <c r="K14" i="3"/>
  <c r="I14" i="10" s="1"/>
  <c r="F5" i="3"/>
  <c r="F4" i="3"/>
  <c r="AM9" i="3"/>
  <c r="E7" i="3"/>
  <c r="B7" i="3"/>
  <c r="C7" i="3"/>
  <c r="G7" i="3" l="1"/>
  <c r="A8" i="3"/>
  <c r="K14" i="5"/>
  <c r="K20" i="5"/>
  <c r="H5" i="3"/>
  <c r="B5" i="10"/>
  <c r="D5" i="10" s="1"/>
  <c r="F5" i="10" s="1"/>
  <c r="H4" i="3"/>
  <c r="B4" i="10"/>
  <c r="D4" i="10" s="1"/>
  <c r="F4" i="10" s="1"/>
  <c r="F7" i="5"/>
  <c r="H7" i="5" s="1"/>
  <c r="A9" i="5"/>
  <c r="G9" i="5" s="1"/>
  <c r="E8" i="5"/>
  <c r="C8" i="5"/>
  <c r="D8" i="5"/>
  <c r="B8" i="5"/>
  <c r="AL10" i="5"/>
  <c r="AM9" i="5"/>
  <c r="F6" i="3"/>
  <c r="F7" i="3"/>
  <c r="E8" i="3"/>
  <c r="D8" i="3"/>
  <c r="C8" i="3"/>
  <c r="B8" i="3"/>
  <c r="AM10" i="3"/>
  <c r="AL11" i="3"/>
  <c r="G8" i="3" l="1"/>
  <c r="A9" i="3"/>
  <c r="H6" i="3"/>
  <c r="B6" i="10"/>
  <c r="D6" i="10" s="1"/>
  <c r="F6" i="10" s="1"/>
  <c r="H7" i="3"/>
  <c r="B7" i="10"/>
  <c r="D7" i="10" s="1"/>
  <c r="F7" i="10" s="1"/>
  <c r="F8" i="5"/>
  <c r="H8" i="5" s="1"/>
  <c r="AL11" i="5"/>
  <c r="AM10" i="5"/>
  <c r="A10" i="5"/>
  <c r="G10" i="5" s="1"/>
  <c r="E9" i="5"/>
  <c r="D9" i="5"/>
  <c r="B9" i="5"/>
  <c r="C9" i="5"/>
  <c r="F8" i="3"/>
  <c r="AM11" i="3"/>
  <c r="AL12" i="3"/>
  <c r="D9" i="3"/>
  <c r="C9" i="3"/>
  <c r="E9" i="3"/>
  <c r="B9" i="3"/>
  <c r="G9" i="3" l="1"/>
  <c r="A10" i="3"/>
  <c r="H8" i="3"/>
  <c r="B8" i="10"/>
  <c r="D8" i="10" s="1"/>
  <c r="F8" i="10" s="1"/>
  <c r="F9" i="5"/>
  <c r="H9" i="5" s="1"/>
  <c r="AM11" i="5"/>
  <c r="AL12" i="5"/>
  <c r="A11" i="5"/>
  <c r="G11" i="5" s="1"/>
  <c r="C10" i="5"/>
  <c r="D10" i="5"/>
  <c r="E10" i="5"/>
  <c r="B10" i="5"/>
  <c r="F9" i="3"/>
  <c r="E10" i="3"/>
  <c r="D10" i="3"/>
  <c r="C10" i="3"/>
  <c r="B10" i="3"/>
  <c r="AL13" i="3"/>
  <c r="AM12" i="3"/>
  <c r="G10" i="3" l="1"/>
  <c r="A11" i="3"/>
  <c r="H9" i="3"/>
  <c r="B9" i="10"/>
  <c r="D9" i="10" s="1"/>
  <c r="F9" i="10" s="1"/>
  <c r="F10" i="5"/>
  <c r="H10" i="5" s="1"/>
  <c r="AM12" i="5"/>
  <c r="AL13" i="5"/>
  <c r="A12" i="5"/>
  <c r="G12" i="5" s="1"/>
  <c r="E11" i="5"/>
  <c r="C11" i="5"/>
  <c r="D11" i="5"/>
  <c r="B11" i="5"/>
  <c r="F10" i="3"/>
  <c r="AL14" i="3"/>
  <c r="AM13" i="3"/>
  <c r="C11" i="3"/>
  <c r="B11" i="3"/>
  <c r="D11" i="3"/>
  <c r="E11" i="3"/>
  <c r="G11" i="3" l="1"/>
  <c r="A12" i="3"/>
  <c r="H10" i="3"/>
  <c r="B10" i="10"/>
  <c r="D10" i="10" s="1"/>
  <c r="F10" i="10" s="1"/>
  <c r="F11" i="5"/>
  <c r="H11" i="5" s="1"/>
  <c r="AL14" i="5"/>
  <c r="AM13" i="5"/>
  <c r="A13" i="5"/>
  <c r="G13" i="5" s="1"/>
  <c r="D12" i="5"/>
  <c r="E12" i="5"/>
  <c r="B12" i="5"/>
  <c r="C12" i="5"/>
  <c r="AL15" i="3"/>
  <c r="AM14" i="3"/>
  <c r="F11" i="3"/>
  <c r="E12" i="3"/>
  <c r="D12" i="3"/>
  <c r="C12" i="3"/>
  <c r="B12" i="3"/>
  <c r="G12" i="3" l="1"/>
  <c r="A13" i="3"/>
  <c r="H11" i="3"/>
  <c r="B11" i="10"/>
  <c r="D11" i="10" s="1"/>
  <c r="F11" i="10" s="1"/>
  <c r="F12" i="5"/>
  <c r="H12" i="5" s="1"/>
  <c r="A14" i="5"/>
  <c r="G14" i="5" s="1"/>
  <c r="E13" i="5"/>
  <c r="D13" i="5"/>
  <c r="B13" i="5"/>
  <c r="C13" i="5"/>
  <c r="AL15" i="5"/>
  <c r="AM14" i="5"/>
  <c r="F12" i="3"/>
  <c r="B13" i="3"/>
  <c r="D13" i="3"/>
  <c r="C13" i="3"/>
  <c r="E13" i="3"/>
  <c r="AL16" i="3"/>
  <c r="AM15" i="3"/>
  <c r="G13" i="3" l="1"/>
  <c r="A14" i="3"/>
  <c r="H12" i="3"/>
  <c r="B12" i="10"/>
  <c r="D12" i="10" s="1"/>
  <c r="F12" i="10" s="1"/>
  <c r="F13" i="5"/>
  <c r="H13" i="5" s="1"/>
  <c r="AM15" i="5"/>
  <c r="AL16" i="5"/>
  <c r="A15" i="5"/>
  <c r="G15" i="5" s="1"/>
  <c r="C14" i="5"/>
  <c r="E14" i="5"/>
  <c r="B14" i="5"/>
  <c r="D14" i="5"/>
  <c r="AM16" i="3"/>
  <c r="AL17" i="3"/>
  <c r="F13" i="3"/>
  <c r="E14" i="3"/>
  <c r="B14" i="3"/>
  <c r="C14" i="3"/>
  <c r="D14" i="3"/>
  <c r="G14" i="3" l="1"/>
  <c r="A15" i="3"/>
  <c r="H13" i="3"/>
  <c r="B13" i="10"/>
  <c r="D13" i="10" s="1"/>
  <c r="F13" i="10" s="1"/>
  <c r="F14" i="5"/>
  <c r="H14" i="5" s="1"/>
  <c r="D15" i="5"/>
  <c r="A16" i="5"/>
  <c r="G16" i="5" s="1"/>
  <c r="C15" i="5"/>
  <c r="E15" i="5"/>
  <c r="B15" i="5"/>
  <c r="AL17" i="5"/>
  <c r="AM16" i="5"/>
  <c r="F14" i="3"/>
  <c r="E15" i="3"/>
  <c r="B15" i="3"/>
  <c r="D15" i="3"/>
  <c r="C15" i="3"/>
  <c r="AL18" i="3"/>
  <c r="AM17" i="3"/>
  <c r="G15" i="3" l="1"/>
  <c r="A16" i="3"/>
  <c r="H14" i="3"/>
  <c r="B14" i="10"/>
  <c r="D14" i="10" s="1"/>
  <c r="F14" i="10" s="1"/>
  <c r="F15" i="5"/>
  <c r="H15" i="5" s="1"/>
  <c r="AL18" i="5"/>
  <c r="AM17" i="5"/>
  <c r="A17" i="5"/>
  <c r="G17" i="5" s="1"/>
  <c r="E16" i="5"/>
  <c r="D16" i="5"/>
  <c r="C16" i="5"/>
  <c r="B16" i="5"/>
  <c r="AL19" i="3"/>
  <c r="AM18" i="3"/>
  <c r="F15" i="3"/>
  <c r="C16" i="3"/>
  <c r="E16" i="3"/>
  <c r="D16" i="3"/>
  <c r="B16" i="3"/>
  <c r="G16" i="3" l="1"/>
  <c r="A17" i="3"/>
  <c r="H15" i="3"/>
  <c r="B15" i="10"/>
  <c r="D15" i="10" s="1"/>
  <c r="F15" i="10" s="1"/>
  <c r="F16" i="5"/>
  <c r="H16" i="5" s="1"/>
  <c r="A18" i="5"/>
  <c r="G18" i="5" s="1"/>
  <c r="B17" i="5"/>
  <c r="D17" i="5"/>
  <c r="E17" i="5"/>
  <c r="C17" i="5"/>
  <c r="AL19" i="5"/>
  <c r="AM18" i="5"/>
  <c r="B17" i="3"/>
  <c r="C17" i="3"/>
  <c r="E17" i="3"/>
  <c r="D17" i="3"/>
  <c r="AL20" i="3"/>
  <c r="AM19" i="3"/>
  <c r="F16" i="3"/>
  <c r="G17" i="3" l="1"/>
  <c r="A18" i="3"/>
  <c r="H16" i="3"/>
  <c r="B16" i="10"/>
  <c r="D16" i="10" s="1"/>
  <c r="F16" i="10" s="1"/>
  <c r="F17" i="5"/>
  <c r="H17" i="5" s="1"/>
  <c r="AM19" i="5"/>
  <c r="AL20" i="5"/>
  <c r="A19" i="5"/>
  <c r="G19" i="5" s="1"/>
  <c r="E18" i="5"/>
  <c r="C18" i="5"/>
  <c r="D18" i="5"/>
  <c r="B18" i="5"/>
  <c r="F17" i="3"/>
  <c r="AM20" i="3"/>
  <c r="AL21" i="3"/>
  <c r="D18" i="3"/>
  <c r="B18" i="3"/>
  <c r="C18" i="3"/>
  <c r="E18" i="3"/>
  <c r="G18" i="3" l="1"/>
  <c r="A19" i="3"/>
  <c r="H17" i="3"/>
  <c r="B17" i="10"/>
  <c r="D17" i="10" s="1"/>
  <c r="F17" i="10" s="1"/>
  <c r="A20" i="5"/>
  <c r="G20" i="5" s="1"/>
  <c r="D19" i="5"/>
  <c r="C19" i="5"/>
  <c r="B19" i="5"/>
  <c r="E19" i="5"/>
  <c r="AL21" i="5"/>
  <c r="AM20" i="5"/>
  <c r="F18" i="5"/>
  <c r="H18" i="5" s="1"/>
  <c r="F18" i="3"/>
  <c r="E19" i="3"/>
  <c r="B19" i="3"/>
  <c r="D19" i="3"/>
  <c r="C19" i="3"/>
  <c r="AL22" i="3"/>
  <c r="AM21" i="3"/>
  <c r="G19" i="3" l="1"/>
  <c r="A20" i="3"/>
  <c r="H18" i="3"/>
  <c r="B18" i="10"/>
  <c r="D18" i="10" s="1"/>
  <c r="F18" i="10" s="1"/>
  <c r="AL22" i="5"/>
  <c r="AM21" i="5"/>
  <c r="F19" i="5"/>
  <c r="H19" i="5" s="1"/>
  <c r="A21" i="5"/>
  <c r="G21" i="5" s="1"/>
  <c r="C20" i="5"/>
  <c r="E20" i="5"/>
  <c r="D20" i="5"/>
  <c r="B20" i="5"/>
  <c r="AL23" i="3"/>
  <c r="AM22" i="3"/>
  <c r="F19" i="3"/>
  <c r="C20" i="3"/>
  <c r="B20" i="3"/>
  <c r="E20" i="3"/>
  <c r="D20" i="3"/>
  <c r="G20" i="3" l="1"/>
  <c r="A21" i="3"/>
  <c r="H19" i="3"/>
  <c r="B19" i="10"/>
  <c r="D19" i="10" s="1"/>
  <c r="F19" i="10" s="1"/>
  <c r="A22" i="5"/>
  <c r="G22" i="5" s="1"/>
  <c r="C21" i="5"/>
  <c r="B21" i="5"/>
  <c r="E21" i="5"/>
  <c r="D21" i="5"/>
  <c r="F20" i="5"/>
  <c r="H20" i="5" s="1"/>
  <c r="AL23" i="5"/>
  <c r="AM22" i="5"/>
  <c r="D21" i="3"/>
  <c r="B21" i="3"/>
  <c r="C21" i="3"/>
  <c r="E21" i="3"/>
  <c r="AL24" i="3"/>
  <c r="AM23" i="3"/>
  <c r="F20" i="3"/>
  <c r="G21" i="3" l="1"/>
  <c r="A22" i="3"/>
  <c r="H20" i="3"/>
  <c r="B20" i="10"/>
  <c r="D20" i="10" s="1"/>
  <c r="F20" i="10" s="1"/>
  <c r="AM23" i="5"/>
  <c r="AL24" i="5"/>
  <c r="F21" i="5"/>
  <c r="H21" i="5" s="1"/>
  <c r="A23" i="5"/>
  <c r="G23" i="5" s="1"/>
  <c r="E22" i="5"/>
  <c r="D22" i="5"/>
  <c r="C22" i="5"/>
  <c r="B22" i="5"/>
  <c r="F21" i="3"/>
  <c r="AL25" i="3"/>
  <c r="AM24" i="3"/>
  <c r="C22" i="3"/>
  <c r="D22" i="3"/>
  <c r="B22" i="3"/>
  <c r="E22" i="3"/>
  <c r="G22" i="3" l="1"/>
  <c r="A23" i="3"/>
  <c r="H21" i="3"/>
  <c r="B21" i="10"/>
  <c r="D21" i="10" s="1"/>
  <c r="F21" i="10" s="1"/>
  <c r="A24" i="5"/>
  <c r="G24" i="5" s="1"/>
  <c r="C23" i="5"/>
  <c r="B23" i="5"/>
  <c r="D23" i="5"/>
  <c r="E23" i="5"/>
  <c r="AL25" i="5"/>
  <c r="AM24" i="5"/>
  <c r="F22" i="5"/>
  <c r="H22" i="5" s="1"/>
  <c r="F22" i="3"/>
  <c r="AL26" i="3"/>
  <c r="AM25" i="3"/>
  <c r="C23" i="3"/>
  <c r="B23" i="3"/>
  <c r="E23" i="3"/>
  <c r="D23" i="3"/>
  <c r="G23" i="3" l="1"/>
  <c r="A24" i="3"/>
  <c r="H22" i="3"/>
  <c r="B22" i="10"/>
  <c r="D22" i="10" s="1"/>
  <c r="F22" i="10" s="1"/>
  <c r="F23" i="5"/>
  <c r="H23" i="5" s="1"/>
  <c r="AL26" i="5"/>
  <c r="AM25" i="5"/>
  <c r="A25" i="5"/>
  <c r="G25" i="5" s="1"/>
  <c r="C24" i="5"/>
  <c r="D24" i="5"/>
  <c r="E24" i="5"/>
  <c r="B24" i="5"/>
  <c r="B24" i="3"/>
  <c r="C24" i="3"/>
  <c r="E24" i="3"/>
  <c r="D24" i="3"/>
  <c r="F23" i="3"/>
  <c r="AL27" i="3"/>
  <c r="AM26" i="3"/>
  <c r="G24" i="3" l="1"/>
  <c r="A25" i="3"/>
  <c r="H23" i="3"/>
  <c r="B23" i="10"/>
  <c r="D23" i="10" s="1"/>
  <c r="F23" i="10" s="1"/>
  <c r="A26" i="5"/>
  <c r="G26" i="5" s="1"/>
  <c r="B25" i="5"/>
  <c r="C25" i="5"/>
  <c r="E25" i="5"/>
  <c r="D25" i="5"/>
  <c r="AL27" i="5"/>
  <c r="AM26" i="5"/>
  <c r="F24" i="5"/>
  <c r="H24" i="5" s="1"/>
  <c r="D25" i="3"/>
  <c r="B25" i="3"/>
  <c r="C25" i="3"/>
  <c r="E25" i="3"/>
  <c r="AL28" i="3"/>
  <c r="AM27" i="3"/>
  <c r="F24" i="3"/>
  <c r="G25" i="3" l="1"/>
  <c r="A26" i="3"/>
  <c r="H24" i="3"/>
  <c r="B24" i="10"/>
  <c r="D24" i="10" s="1"/>
  <c r="F24" i="10" s="1"/>
  <c r="AM27" i="5"/>
  <c r="AL28" i="5"/>
  <c r="F25" i="5"/>
  <c r="H25" i="5" s="1"/>
  <c r="A27" i="5"/>
  <c r="G27" i="5" s="1"/>
  <c r="E26" i="5"/>
  <c r="D26" i="5"/>
  <c r="C26" i="5"/>
  <c r="B26" i="5"/>
  <c r="AL29" i="3"/>
  <c r="AM28" i="3"/>
  <c r="F25" i="3"/>
  <c r="D26" i="3"/>
  <c r="E26" i="3"/>
  <c r="C26" i="3"/>
  <c r="B26" i="3"/>
  <c r="G26" i="3" l="1"/>
  <c r="A27" i="3"/>
  <c r="H25" i="3"/>
  <c r="B25" i="10"/>
  <c r="D25" i="10" s="1"/>
  <c r="F25" i="10" s="1"/>
  <c r="A28" i="5"/>
  <c r="G28" i="5" s="1"/>
  <c r="B27" i="5"/>
  <c r="C27" i="5"/>
  <c r="D27" i="5"/>
  <c r="E27" i="5"/>
  <c r="AL29" i="5"/>
  <c r="AM28" i="5"/>
  <c r="F26" i="5"/>
  <c r="H26" i="5" s="1"/>
  <c r="F26" i="3"/>
  <c r="AL30" i="3"/>
  <c r="AM29" i="3"/>
  <c r="E27" i="3"/>
  <c r="C27" i="3"/>
  <c r="B27" i="3"/>
  <c r="D27" i="3"/>
  <c r="G27" i="3" l="1"/>
  <c r="A28" i="3"/>
  <c r="H26" i="3"/>
  <c r="B26" i="10"/>
  <c r="D26" i="10" s="1"/>
  <c r="F26" i="10" s="1"/>
  <c r="AL30" i="5"/>
  <c r="AM29" i="5"/>
  <c r="A29" i="5"/>
  <c r="G29" i="5" s="1"/>
  <c r="E28" i="5"/>
  <c r="B28" i="5"/>
  <c r="D28" i="5"/>
  <c r="C28" i="5"/>
  <c r="F27" i="5"/>
  <c r="H27" i="5" s="1"/>
  <c r="F27" i="3"/>
  <c r="C28" i="3"/>
  <c r="B28" i="3"/>
  <c r="D28" i="3"/>
  <c r="E28" i="3"/>
  <c r="AL31" i="3"/>
  <c r="AM30" i="3"/>
  <c r="G28" i="3" l="1"/>
  <c r="A29" i="3"/>
  <c r="H27" i="3"/>
  <c r="B27" i="10"/>
  <c r="D27" i="10" s="1"/>
  <c r="F27" i="10" s="1"/>
  <c r="A30" i="5"/>
  <c r="G30" i="5" s="1"/>
  <c r="B29" i="5"/>
  <c r="E29" i="5"/>
  <c r="D29" i="5"/>
  <c r="C29" i="5"/>
  <c r="F28" i="5"/>
  <c r="H28" i="5" s="1"/>
  <c r="AL31" i="5"/>
  <c r="AM30" i="5"/>
  <c r="F28" i="3"/>
  <c r="B29" i="3"/>
  <c r="E29" i="3"/>
  <c r="C29" i="3"/>
  <c r="D29" i="3"/>
  <c r="AL32" i="3"/>
  <c r="AM31" i="3"/>
  <c r="G29" i="3" l="1"/>
  <c r="A30" i="3"/>
  <c r="H28" i="3"/>
  <c r="B28" i="10"/>
  <c r="D28" i="10" s="1"/>
  <c r="F28" i="10" s="1"/>
  <c r="AL32" i="5"/>
  <c r="AM31" i="5"/>
  <c r="F29" i="5"/>
  <c r="H29" i="5" s="1"/>
  <c r="A31" i="5"/>
  <c r="G31" i="5" s="1"/>
  <c r="E30" i="5"/>
  <c r="D30" i="5"/>
  <c r="C30" i="5"/>
  <c r="B30" i="5"/>
  <c r="AM32" i="3"/>
  <c r="AL33" i="3"/>
  <c r="F29" i="3"/>
  <c r="D30" i="3"/>
  <c r="E30" i="3"/>
  <c r="C30" i="3"/>
  <c r="B30" i="3"/>
  <c r="G30" i="3" l="1"/>
  <c r="A31" i="3"/>
  <c r="H29" i="3"/>
  <c r="B29" i="10"/>
  <c r="D29" i="10" s="1"/>
  <c r="F29" i="10" s="1"/>
  <c r="C31" i="5"/>
  <c r="A32" i="5"/>
  <c r="G32" i="5" s="1"/>
  <c r="B31" i="5"/>
  <c r="D31" i="5"/>
  <c r="E31" i="5"/>
  <c r="F30" i="5"/>
  <c r="H30" i="5" s="1"/>
  <c r="AL33" i="5"/>
  <c r="AM32" i="5"/>
  <c r="F30" i="3"/>
  <c r="E31" i="3"/>
  <c r="D31" i="3"/>
  <c r="C31" i="3"/>
  <c r="B31" i="3"/>
  <c r="AL34" i="3"/>
  <c r="AM33" i="3"/>
  <c r="G31" i="3" l="1"/>
  <c r="A32" i="3"/>
  <c r="H30" i="3"/>
  <c r="B30" i="10"/>
  <c r="D30" i="10" s="1"/>
  <c r="F30" i="10" s="1"/>
  <c r="F31" i="5"/>
  <c r="H31" i="5" s="1"/>
  <c r="A33" i="5"/>
  <c r="G33" i="5" s="1"/>
  <c r="B32" i="5"/>
  <c r="E32" i="5"/>
  <c r="C32" i="5"/>
  <c r="D32" i="5"/>
  <c r="AL34" i="5"/>
  <c r="AM33" i="5"/>
  <c r="AL35" i="3"/>
  <c r="AM34" i="3"/>
  <c r="F31" i="3"/>
  <c r="C32" i="3"/>
  <c r="B32" i="3"/>
  <c r="D32" i="3"/>
  <c r="E32" i="3"/>
  <c r="G32" i="3" l="1"/>
  <c r="A33" i="3"/>
  <c r="H31" i="3"/>
  <c r="B31" i="10"/>
  <c r="D31" i="10" s="1"/>
  <c r="F31" i="10" s="1"/>
  <c r="F32" i="5"/>
  <c r="H32" i="5" s="1"/>
  <c r="AL35" i="5"/>
  <c r="AM34" i="5"/>
  <c r="A34" i="5"/>
  <c r="G34" i="5" s="1"/>
  <c r="D33" i="5"/>
  <c r="C33" i="5"/>
  <c r="B33" i="5"/>
  <c r="E33" i="5"/>
  <c r="E33" i="3"/>
  <c r="B33" i="3"/>
  <c r="D33" i="3"/>
  <c r="C33" i="3"/>
  <c r="AL36" i="3"/>
  <c r="AM35" i="3"/>
  <c r="F32" i="3"/>
  <c r="G33" i="3" l="1"/>
  <c r="A34" i="3"/>
  <c r="H32" i="3"/>
  <c r="B32" i="10"/>
  <c r="D32" i="10" s="1"/>
  <c r="F32" i="10" s="1"/>
  <c r="A35" i="5"/>
  <c r="G35" i="5" s="1"/>
  <c r="E34" i="5"/>
  <c r="D34" i="5"/>
  <c r="B34" i="5"/>
  <c r="C34" i="5"/>
  <c r="F33" i="5"/>
  <c r="H33" i="5" s="1"/>
  <c r="AL36" i="5"/>
  <c r="AM35" i="5"/>
  <c r="F33" i="3"/>
  <c r="AM36" i="3"/>
  <c r="AL37" i="3"/>
  <c r="D34" i="3"/>
  <c r="E34" i="3"/>
  <c r="C34" i="3"/>
  <c r="B34" i="3"/>
  <c r="G34" i="3" l="1"/>
  <c r="A35" i="3"/>
  <c r="H33" i="3"/>
  <c r="B33" i="10"/>
  <c r="D33" i="10" s="1"/>
  <c r="F33" i="10" s="1"/>
  <c r="AL37" i="5"/>
  <c r="AM36" i="5"/>
  <c r="F34" i="5"/>
  <c r="H34" i="5" s="1"/>
  <c r="A36" i="5"/>
  <c r="G36" i="5" s="1"/>
  <c r="D35" i="5"/>
  <c r="C35" i="5"/>
  <c r="B35" i="5"/>
  <c r="E35" i="5"/>
  <c r="F34" i="3"/>
  <c r="D35" i="3"/>
  <c r="E35" i="3"/>
  <c r="C35" i="3"/>
  <c r="B35" i="3"/>
  <c r="AL38" i="3"/>
  <c r="AM37" i="3"/>
  <c r="G35" i="3" l="1"/>
  <c r="A36" i="3"/>
  <c r="H34" i="3"/>
  <c r="B34" i="10"/>
  <c r="D34" i="10" s="1"/>
  <c r="F34" i="10" s="1"/>
  <c r="F35" i="5"/>
  <c r="H35" i="5" s="1"/>
  <c r="A37" i="5"/>
  <c r="G37" i="5" s="1"/>
  <c r="B36" i="5"/>
  <c r="C36" i="5"/>
  <c r="E36" i="5"/>
  <c r="D36" i="5"/>
  <c r="AL38" i="5"/>
  <c r="AM37" i="5"/>
  <c r="F35" i="3"/>
  <c r="AL39" i="3"/>
  <c r="AM38" i="3"/>
  <c r="C36" i="3"/>
  <c r="B36" i="3"/>
  <c r="D36" i="3"/>
  <c r="E36" i="3"/>
  <c r="G36" i="3" l="1"/>
  <c r="A37" i="3"/>
  <c r="H35" i="3"/>
  <c r="B35" i="10"/>
  <c r="D35" i="10" s="1"/>
  <c r="F35" i="10" s="1"/>
  <c r="F36" i="5"/>
  <c r="H36" i="5" s="1"/>
  <c r="AL39" i="5"/>
  <c r="AM38" i="5"/>
  <c r="A38" i="5"/>
  <c r="G38" i="5" s="1"/>
  <c r="D37" i="5"/>
  <c r="E37" i="5"/>
  <c r="C37" i="5"/>
  <c r="B37" i="5"/>
  <c r="F36" i="3"/>
  <c r="E37" i="3"/>
  <c r="C37" i="3"/>
  <c r="D37" i="3"/>
  <c r="B37" i="3"/>
  <c r="AL40" i="3"/>
  <c r="AM39" i="3"/>
  <c r="G37" i="3" l="1"/>
  <c r="A38" i="3"/>
  <c r="H36" i="3"/>
  <c r="B36" i="10"/>
  <c r="D36" i="10" s="1"/>
  <c r="F36" i="10" s="1"/>
  <c r="F37" i="5"/>
  <c r="H37" i="5" s="1"/>
  <c r="AL40" i="5"/>
  <c r="AM39" i="5"/>
  <c r="A39" i="5"/>
  <c r="G39" i="5" s="1"/>
  <c r="E38" i="5"/>
  <c r="D38" i="5"/>
  <c r="B38" i="5"/>
  <c r="C38" i="5"/>
  <c r="F37" i="3"/>
  <c r="AL41" i="3"/>
  <c r="AM40" i="3"/>
  <c r="E38" i="3"/>
  <c r="D38" i="3"/>
  <c r="C38" i="3"/>
  <c r="B38" i="3"/>
  <c r="G38" i="3" l="1"/>
  <c r="A39" i="3"/>
  <c r="H37" i="3"/>
  <c r="B37" i="10"/>
  <c r="D37" i="10" s="1"/>
  <c r="F37" i="10" s="1"/>
  <c r="F38" i="5"/>
  <c r="H38" i="5" s="1"/>
  <c r="A40" i="5"/>
  <c r="G40" i="5" s="1"/>
  <c r="D39" i="5"/>
  <c r="B39" i="5"/>
  <c r="C39" i="5"/>
  <c r="E39" i="5"/>
  <c r="AL41" i="5"/>
  <c r="AM40" i="5"/>
  <c r="F38" i="3"/>
  <c r="AL42" i="3"/>
  <c r="AM41" i="3"/>
  <c r="D39" i="3"/>
  <c r="E39" i="3"/>
  <c r="C39" i="3"/>
  <c r="B39" i="3"/>
  <c r="G39" i="3" l="1"/>
  <c r="A40" i="3"/>
  <c r="H38" i="3"/>
  <c r="B38" i="10"/>
  <c r="D38" i="10" s="1"/>
  <c r="F38" i="10" s="1"/>
  <c r="F39" i="5"/>
  <c r="H39" i="5" s="1"/>
  <c r="AL42" i="5"/>
  <c r="AM41" i="5"/>
  <c r="A41" i="5"/>
  <c r="G41" i="5" s="1"/>
  <c r="C40" i="5"/>
  <c r="B40" i="5"/>
  <c r="E40" i="5"/>
  <c r="D40" i="5"/>
  <c r="F39" i="3"/>
  <c r="AL43" i="3"/>
  <c r="AM42" i="3"/>
  <c r="B40" i="3"/>
  <c r="C40" i="3"/>
  <c r="D40" i="3"/>
  <c r="E40" i="3"/>
  <c r="G40" i="3" l="1"/>
  <c r="A41" i="3"/>
  <c r="H39" i="3"/>
  <c r="B39" i="10"/>
  <c r="D39" i="10" s="1"/>
  <c r="F39" i="10" s="1"/>
  <c r="F40" i="5"/>
  <c r="H40" i="5" s="1"/>
  <c r="A42" i="5"/>
  <c r="G42" i="5" s="1"/>
  <c r="E41" i="5"/>
  <c r="B41" i="5"/>
  <c r="D41" i="5"/>
  <c r="C41" i="5"/>
  <c r="AM42" i="5"/>
  <c r="AL43" i="5"/>
  <c r="E41" i="3"/>
  <c r="D41" i="3"/>
  <c r="C41" i="3"/>
  <c r="B41" i="3"/>
  <c r="F40" i="3"/>
  <c r="AL44" i="3"/>
  <c r="AM43" i="3"/>
  <c r="G41" i="3" l="1"/>
  <c r="A42" i="3"/>
  <c r="H40" i="3"/>
  <c r="B40" i="10"/>
  <c r="D40" i="10" s="1"/>
  <c r="F40" i="10" s="1"/>
  <c r="AL44" i="5"/>
  <c r="AM43" i="5"/>
  <c r="A43" i="5"/>
  <c r="G43" i="5" s="1"/>
  <c r="E42" i="5"/>
  <c r="C42" i="5"/>
  <c r="D42" i="5"/>
  <c r="B42" i="5"/>
  <c r="F41" i="5"/>
  <c r="H41" i="5" s="1"/>
  <c r="F41" i="3"/>
  <c r="AM44" i="3"/>
  <c r="AL45" i="3"/>
  <c r="D42" i="3"/>
  <c r="B42" i="3"/>
  <c r="C42" i="3"/>
  <c r="E42" i="3"/>
  <c r="G42" i="3" l="1"/>
  <c r="A43" i="3"/>
  <c r="H41" i="3"/>
  <c r="B41" i="10"/>
  <c r="D41" i="10" s="1"/>
  <c r="F41" i="10" s="1"/>
  <c r="F42" i="5"/>
  <c r="H42" i="5" s="1"/>
  <c r="AM44" i="5"/>
  <c r="AL45" i="5"/>
  <c r="A44" i="5"/>
  <c r="G44" i="5" s="1"/>
  <c r="B43" i="5"/>
  <c r="C43" i="5"/>
  <c r="D43" i="5"/>
  <c r="E43" i="5"/>
  <c r="F42" i="3"/>
  <c r="D43" i="3"/>
  <c r="B43" i="3"/>
  <c r="C43" i="3"/>
  <c r="E43" i="3"/>
  <c r="AL46" i="3"/>
  <c r="AM45" i="3"/>
  <c r="G43" i="3" l="1"/>
  <c r="A44" i="3"/>
  <c r="H42" i="3"/>
  <c r="B42" i="10"/>
  <c r="D42" i="10" s="1"/>
  <c r="F42" i="10" s="1"/>
  <c r="AL46" i="5"/>
  <c r="AM45" i="5"/>
  <c r="F43" i="5"/>
  <c r="H43" i="5" s="1"/>
  <c r="A45" i="5"/>
  <c r="G45" i="5" s="1"/>
  <c r="C44" i="5"/>
  <c r="D44" i="5"/>
  <c r="E44" i="5"/>
  <c r="B44" i="5"/>
  <c r="F43" i="3"/>
  <c r="AL47" i="3"/>
  <c r="AM46" i="3"/>
  <c r="C44" i="3"/>
  <c r="B44" i="3"/>
  <c r="E44" i="3"/>
  <c r="D44" i="3"/>
  <c r="G44" i="3" l="1"/>
  <c r="A45" i="3"/>
  <c r="H43" i="3"/>
  <c r="B43" i="10"/>
  <c r="D43" i="10" s="1"/>
  <c r="F43" i="10" s="1"/>
  <c r="F44" i="5"/>
  <c r="H44" i="5" s="1"/>
  <c r="AM46" i="5"/>
  <c r="AL47" i="5"/>
  <c r="A46" i="5"/>
  <c r="G46" i="5" s="1"/>
  <c r="E45" i="5"/>
  <c r="C45" i="5"/>
  <c r="B45" i="5"/>
  <c r="D45" i="5"/>
  <c r="F44" i="3"/>
  <c r="D45" i="3"/>
  <c r="E45" i="3"/>
  <c r="C45" i="3"/>
  <c r="B45" i="3"/>
  <c r="AL48" i="3"/>
  <c r="AM47" i="3"/>
  <c r="G45" i="3" l="1"/>
  <c r="A46" i="3"/>
  <c r="H44" i="3"/>
  <c r="B44" i="10"/>
  <c r="D44" i="10" s="1"/>
  <c r="F44" i="10" s="1"/>
  <c r="F45" i="5"/>
  <c r="H45" i="5" s="1"/>
  <c r="A47" i="5"/>
  <c r="G47" i="5" s="1"/>
  <c r="C46" i="5"/>
  <c r="D46" i="5"/>
  <c r="E46" i="5"/>
  <c r="B46" i="5"/>
  <c r="AL48" i="5"/>
  <c r="AM47" i="5"/>
  <c r="F45" i="3"/>
  <c r="D46" i="3"/>
  <c r="B46" i="3"/>
  <c r="C46" i="3"/>
  <c r="E46" i="3"/>
  <c r="AM48" i="3"/>
  <c r="AL49" i="3"/>
  <c r="G46" i="3" l="1"/>
  <c r="A47" i="3"/>
  <c r="H45" i="3"/>
  <c r="B45" i="10"/>
  <c r="D45" i="10" s="1"/>
  <c r="F45" i="10" s="1"/>
  <c r="F46" i="5"/>
  <c r="H46" i="5" s="1"/>
  <c r="AM48" i="5"/>
  <c r="AL49" i="5"/>
  <c r="A48" i="5"/>
  <c r="G48" i="5" s="1"/>
  <c r="B47" i="5"/>
  <c r="C47" i="5"/>
  <c r="D47" i="5"/>
  <c r="E47" i="5"/>
  <c r="F46" i="3"/>
  <c r="AL50" i="3"/>
  <c r="AM49" i="3"/>
  <c r="D47" i="3"/>
  <c r="B47" i="3"/>
  <c r="C47" i="3"/>
  <c r="E47" i="3"/>
  <c r="G47" i="3" l="1"/>
  <c r="A48" i="3"/>
  <c r="H46" i="3"/>
  <c r="B46" i="10"/>
  <c r="D46" i="10" s="1"/>
  <c r="F46" i="10" s="1"/>
  <c r="AL50" i="5"/>
  <c r="AM49" i="5"/>
  <c r="F47" i="5"/>
  <c r="H47" i="5" s="1"/>
  <c r="A49" i="5"/>
  <c r="G49" i="5" s="1"/>
  <c r="C48" i="5"/>
  <c r="D48" i="5"/>
  <c r="B48" i="5"/>
  <c r="E48" i="5"/>
  <c r="F47" i="3"/>
  <c r="C48" i="3"/>
  <c r="D48" i="3"/>
  <c r="B48" i="3"/>
  <c r="E48" i="3"/>
  <c r="AL51" i="3"/>
  <c r="AM50" i="3"/>
  <c r="G48" i="3" l="1"/>
  <c r="A49" i="3"/>
  <c r="H47" i="3"/>
  <c r="B47" i="10"/>
  <c r="D47" i="10" s="1"/>
  <c r="F47" i="10" s="1"/>
  <c r="F48" i="5"/>
  <c r="H48" i="5" s="1"/>
  <c r="AM50" i="5"/>
  <c r="AL51" i="5"/>
  <c r="A50" i="5"/>
  <c r="G50" i="5" s="1"/>
  <c r="C49" i="5"/>
  <c r="E49" i="5"/>
  <c r="B49" i="5"/>
  <c r="D49" i="5"/>
  <c r="AL52" i="3"/>
  <c r="AM51" i="3"/>
  <c r="F48" i="3"/>
  <c r="D49" i="3"/>
  <c r="E49" i="3"/>
  <c r="C49" i="3"/>
  <c r="B49" i="3"/>
  <c r="G49" i="3" l="1"/>
  <c r="A50" i="3"/>
  <c r="H48" i="3"/>
  <c r="B48" i="10"/>
  <c r="D48" i="10" s="1"/>
  <c r="F48" i="10" s="1"/>
  <c r="AL52" i="5"/>
  <c r="AM51" i="5"/>
  <c r="F49" i="5"/>
  <c r="H49" i="5" s="1"/>
  <c r="A51" i="5"/>
  <c r="G51" i="5" s="1"/>
  <c r="C50" i="5"/>
  <c r="E50" i="5"/>
  <c r="D50" i="5"/>
  <c r="B50" i="5"/>
  <c r="D50" i="3"/>
  <c r="B50" i="3"/>
  <c r="C50" i="3"/>
  <c r="E50" i="3"/>
  <c r="F49" i="3"/>
  <c r="AM52" i="3"/>
  <c r="AL53" i="3"/>
  <c r="G50" i="3" l="1"/>
  <c r="A51" i="3"/>
  <c r="H49" i="3"/>
  <c r="B49" i="10"/>
  <c r="D49" i="10" s="1"/>
  <c r="F49" i="10" s="1"/>
  <c r="A52" i="5"/>
  <c r="G52" i="5" s="1"/>
  <c r="B51" i="5"/>
  <c r="D51" i="5"/>
  <c r="E51" i="5"/>
  <c r="C51" i="5"/>
  <c r="F50" i="5"/>
  <c r="H50" i="5" s="1"/>
  <c r="AM52" i="5"/>
  <c r="AL53" i="5"/>
  <c r="F50" i="3"/>
  <c r="AM53" i="3"/>
  <c r="AL54" i="3"/>
  <c r="D51" i="3"/>
  <c r="E51" i="3"/>
  <c r="B51" i="3"/>
  <c r="C51" i="3"/>
  <c r="G51" i="3" l="1"/>
  <c r="A52" i="3"/>
  <c r="H50" i="3"/>
  <c r="B50" i="10"/>
  <c r="D50" i="10" s="1"/>
  <c r="F50" i="10" s="1"/>
  <c r="F51" i="5"/>
  <c r="H51" i="5" s="1"/>
  <c r="AL54" i="5"/>
  <c r="AM53" i="5"/>
  <c r="A53" i="5"/>
  <c r="G53" i="5" s="1"/>
  <c r="D52" i="5"/>
  <c r="E52" i="5"/>
  <c r="B52" i="5"/>
  <c r="C52" i="5"/>
  <c r="F51" i="3"/>
  <c r="C52" i="3"/>
  <c r="B52" i="3"/>
  <c r="E52" i="3"/>
  <c r="D52" i="3"/>
  <c r="AL55" i="3"/>
  <c r="AM54" i="3"/>
  <c r="G52" i="3" l="1"/>
  <c r="A53" i="3"/>
  <c r="H51" i="3"/>
  <c r="B51" i="10"/>
  <c r="D51" i="10" s="1"/>
  <c r="F51" i="10" s="1"/>
  <c r="F52" i="5"/>
  <c r="H52" i="5" s="1"/>
  <c r="A54" i="5"/>
  <c r="G54" i="5" s="1"/>
  <c r="B53" i="5"/>
  <c r="C53" i="5"/>
  <c r="D53" i="5"/>
  <c r="E53" i="5"/>
  <c r="AM54" i="5"/>
  <c r="AL55" i="5"/>
  <c r="F52" i="3"/>
  <c r="AL56" i="3"/>
  <c r="AM55" i="3"/>
  <c r="E53" i="3"/>
  <c r="B53" i="3"/>
  <c r="C53" i="3"/>
  <c r="D53" i="3"/>
  <c r="G53" i="3" l="1"/>
  <c r="A54" i="3"/>
  <c r="H52" i="3"/>
  <c r="B52" i="10"/>
  <c r="D52" i="10" s="1"/>
  <c r="F52" i="10" s="1"/>
  <c r="F53" i="5"/>
  <c r="H53" i="5" s="1"/>
  <c r="A55" i="5"/>
  <c r="G55" i="5" s="1"/>
  <c r="D54" i="5"/>
  <c r="E54" i="5"/>
  <c r="B54" i="5"/>
  <c r="C54" i="5"/>
  <c r="AL56" i="5"/>
  <c r="AM55" i="5"/>
  <c r="F53" i="3"/>
  <c r="E54" i="3"/>
  <c r="D54" i="3"/>
  <c r="B54" i="3"/>
  <c r="C54" i="3"/>
  <c r="AM56" i="3"/>
  <c r="AL57" i="3"/>
  <c r="G54" i="3" l="1"/>
  <c r="A55" i="3"/>
  <c r="H53" i="3"/>
  <c r="B53" i="10"/>
  <c r="D53" i="10" s="1"/>
  <c r="F53" i="10" s="1"/>
  <c r="AM56" i="5"/>
  <c r="AL57" i="5"/>
  <c r="A56" i="5"/>
  <c r="G56" i="5" s="1"/>
  <c r="C55" i="5"/>
  <c r="D55" i="5"/>
  <c r="E55" i="5"/>
  <c r="B55" i="5"/>
  <c r="F54" i="5"/>
  <c r="H54" i="5" s="1"/>
  <c r="F54" i="3"/>
  <c r="AM57" i="3"/>
  <c r="AL58" i="3"/>
  <c r="D55" i="3"/>
  <c r="E55" i="3"/>
  <c r="B55" i="3"/>
  <c r="C55" i="3"/>
  <c r="G55" i="3" l="1"/>
  <c r="A56" i="3"/>
  <c r="H54" i="3"/>
  <c r="B54" i="10"/>
  <c r="D54" i="10" s="1"/>
  <c r="F54" i="10" s="1"/>
  <c r="F55" i="5"/>
  <c r="H55" i="5" s="1"/>
  <c r="A57" i="5"/>
  <c r="G57" i="5" s="1"/>
  <c r="D56" i="5"/>
  <c r="E56" i="5"/>
  <c r="B56" i="5"/>
  <c r="C56" i="5"/>
  <c r="AL58" i="5"/>
  <c r="AM57" i="5"/>
  <c r="F55" i="3"/>
  <c r="E56" i="3"/>
  <c r="D56" i="3"/>
  <c r="C56" i="3"/>
  <c r="B56" i="3"/>
  <c r="AL59" i="3"/>
  <c r="AM58" i="3"/>
  <c r="G56" i="3" l="1"/>
  <c r="A57" i="3"/>
  <c r="H55" i="3"/>
  <c r="B55" i="10"/>
  <c r="D55" i="10" s="1"/>
  <c r="F55" i="10" s="1"/>
  <c r="F56" i="5"/>
  <c r="H56" i="5" s="1"/>
  <c r="AM58" i="5"/>
  <c r="AL59" i="5"/>
  <c r="A58" i="5"/>
  <c r="G58" i="5" s="1"/>
  <c r="D57" i="5"/>
  <c r="C57" i="5"/>
  <c r="E57" i="5"/>
  <c r="B57" i="5"/>
  <c r="F56" i="3"/>
  <c r="E57" i="3"/>
  <c r="B57" i="3"/>
  <c r="C57" i="3"/>
  <c r="D57" i="3"/>
  <c r="AL60" i="3"/>
  <c r="AM59" i="3"/>
  <c r="G57" i="3" l="1"/>
  <c r="A58" i="3"/>
  <c r="H56" i="3"/>
  <c r="B56" i="10"/>
  <c r="D56" i="10" s="1"/>
  <c r="F56" i="10" s="1"/>
  <c r="F57" i="5"/>
  <c r="H57" i="5" s="1"/>
  <c r="AL60" i="5"/>
  <c r="AM59" i="5"/>
  <c r="D58" i="5"/>
  <c r="A59" i="5"/>
  <c r="G59" i="5" s="1"/>
  <c r="B58" i="5"/>
  <c r="E58" i="5"/>
  <c r="C58" i="5"/>
  <c r="F57" i="3"/>
  <c r="AM60" i="3"/>
  <c r="AL61" i="3"/>
  <c r="E58" i="3"/>
  <c r="B58" i="3"/>
  <c r="C58" i="3"/>
  <c r="D58" i="3"/>
  <c r="G58" i="3" l="1"/>
  <c r="A59" i="3"/>
  <c r="H57" i="3"/>
  <c r="B57" i="10"/>
  <c r="D57" i="10" s="1"/>
  <c r="F57" i="10" s="1"/>
  <c r="F58" i="5"/>
  <c r="H58" i="5" s="1"/>
  <c r="A60" i="5"/>
  <c r="G60" i="5" s="1"/>
  <c r="D59" i="5"/>
  <c r="E59" i="5"/>
  <c r="B59" i="5"/>
  <c r="C59" i="5"/>
  <c r="AM60" i="5"/>
  <c r="AL61" i="5"/>
  <c r="F58" i="3"/>
  <c r="E59" i="3"/>
  <c r="C59" i="3"/>
  <c r="B59" i="3"/>
  <c r="D59" i="3"/>
  <c r="AM61" i="3"/>
  <c r="AL62" i="3"/>
  <c r="G59" i="3" l="1"/>
  <c r="A60" i="3"/>
  <c r="H58" i="3"/>
  <c r="B58" i="10"/>
  <c r="D58" i="10" s="1"/>
  <c r="F58" i="10" s="1"/>
  <c r="F59" i="5"/>
  <c r="H59" i="5" s="1"/>
  <c r="A61" i="5"/>
  <c r="G61" i="5" s="1"/>
  <c r="D60" i="5"/>
  <c r="E60" i="5"/>
  <c r="B60" i="5"/>
  <c r="C60" i="5"/>
  <c r="AL62" i="5"/>
  <c r="AM61" i="5"/>
  <c r="F59" i="3"/>
  <c r="E60" i="3"/>
  <c r="C60" i="3"/>
  <c r="D60" i="3"/>
  <c r="B60" i="3"/>
  <c r="AL63" i="3"/>
  <c r="AM62" i="3"/>
  <c r="G60" i="3" l="1"/>
  <c r="A61" i="3"/>
  <c r="H59" i="3"/>
  <c r="B59" i="10"/>
  <c r="D59" i="10" s="1"/>
  <c r="F59" i="10" s="1"/>
  <c r="A62" i="5"/>
  <c r="G62" i="5" s="1"/>
  <c r="D61" i="5"/>
  <c r="E61" i="5"/>
  <c r="B61" i="5"/>
  <c r="C61" i="5"/>
  <c r="AL63" i="5"/>
  <c r="AM62" i="5"/>
  <c r="F60" i="5"/>
  <c r="H60" i="5" s="1"/>
  <c r="F60" i="3"/>
  <c r="AL64" i="3"/>
  <c r="AM63" i="3"/>
  <c r="B61" i="3"/>
  <c r="C61" i="3"/>
  <c r="D61" i="3"/>
  <c r="E61" i="3"/>
  <c r="G61" i="3" l="1"/>
  <c r="A62" i="3"/>
  <c r="H60" i="3"/>
  <c r="B60" i="10"/>
  <c r="D60" i="10" s="1"/>
  <c r="F60" i="10" s="1"/>
  <c r="F61" i="5"/>
  <c r="H61" i="5" s="1"/>
  <c r="AL64" i="5"/>
  <c r="AM63" i="5"/>
  <c r="A63" i="5"/>
  <c r="G63" i="5" s="1"/>
  <c r="D62" i="5"/>
  <c r="B62" i="5"/>
  <c r="C62" i="5"/>
  <c r="E62" i="5"/>
  <c r="D62" i="3"/>
  <c r="C62" i="3"/>
  <c r="B62" i="3"/>
  <c r="E62" i="3"/>
  <c r="F61" i="3"/>
  <c r="AM64" i="3"/>
  <c r="AL65" i="3"/>
  <c r="G62" i="3" l="1"/>
  <c r="A63" i="3"/>
  <c r="H61" i="3"/>
  <c r="B61" i="10"/>
  <c r="D61" i="10" s="1"/>
  <c r="F61" i="10" s="1"/>
  <c r="A64" i="5"/>
  <c r="G64" i="5" s="1"/>
  <c r="D63" i="5"/>
  <c r="E63" i="5"/>
  <c r="B63" i="5"/>
  <c r="C63" i="5"/>
  <c r="AM64" i="5"/>
  <c r="AL65" i="5"/>
  <c r="F62" i="5"/>
  <c r="H62" i="5" s="1"/>
  <c r="F62" i="3"/>
  <c r="AM65" i="3"/>
  <c r="AL66" i="3"/>
  <c r="D63" i="3"/>
  <c r="E63" i="3"/>
  <c r="B63" i="3"/>
  <c r="C63" i="3"/>
  <c r="G63" i="3" l="1"/>
  <c r="A64" i="3"/>
  <c r="H62" i="3"/>
  <c r="B62" i="10"/>
  <c r="D62" i="10" s="1"/>
  <c r="F62" i="10" s="1"/>
  <c r="F63" i="5"/>
  <c r="H63" i="5" s="1"/>
  <c r="AL66" i="5"/>
  <c r="AM65" i="5"/>
  <c r="A65" i="5"/>
  <c r="G65" i="5" s="1"/>
  <c r="E64" i="5"/>
  <c r="B64" i="5"/>
  <c r="C64" i="5"/>
  <c r="D64" i="5"/>
  <c r="F63" i="3"/>
  <c r="C64" i="3"/>
  <c r="E64" i="3"/>
  <c r="D64" i="3"/>
  <c r="B64" i="3"/>
  <c r="AL67" i="3"/>
  <c r="AM66" i="3"/>
  <c r="G64" i="3" l="1"/>
  <c r="A65" i="3"/>
  <c r="H63" i="3"/>
  <c r="B63" i="10"/>
  <c r="D63" i="10" s="1"/>
  <c r="F63" i="10" s="1"/>
  <c r="F64" i="5"/>
  <c r="H64" i="5" s="1"/>
  <c r="AL67" i="5"/>
  <c r="AM66" i="5"/>
  <c r="A66" i="5"/>
  <c r="G66" i="5" s="1"/>
  <c r="B65" i="5"/>
  <c r="D65" i="5"/>
  <c r="E65" i="5"/>
  <c r="C65" i="5"/>
  <c r="F64" i="3"/>
  <c r="AL68" i="3"/>
  <c r="AM67" i="3"/>
  <c r="B65" i="3"/>
  <c r="C65" i="3"/>
  <c r="D65" i="3"/>
  <c r="E65" i="3"/>
  <c r="G65" i="3" l="1"/>
  <c r="A66" i="3"/>
  <c r="H64" i="3"/>
  <c r="B64" i="10"/>
  <c r="D64" i="10" s="1"/>
  <c r="F64" i="10" s="1"/>
  <c r="F65" i="5"/>
  <c r="H65" i="5" s="1"/>
  <c r="A67" i="5"/>
  <c r="G67" i="5" s="1"/>
  <c r="B66" i="5"/>
  <c r="E66" i="5"/>
  <c r="C66" i="5"/>
  <c r="D66" i="5"/>
  <c r="AL68" i="5"/>
  <c r="AM67" i="5"/>
  <c r="F65" i="3"/>
  <c r="D66" i="3"/>
  <c r="B66" i="3"/>
  <c r="C66" i="3"/>
  <c r="E66" i="3"/>
  <c r="AM68" i="3"/>
  <c r="AL69" i="3"/>
  <c r="G66" i="3" l="1"/>
  <c r="A67" i="3"/>
  <c r="H65" i="3"/>
  <c r="B65" i="10"/>
  <c r="D65" i="10" s="1"/>
  <c r="F65" i="10" s="1"/>
  <c r="AM68" i="5"/>
  <c r="AL69" i="5"/>
  <c r="F66" i="5"/>
  <c r="H66" i="5" s="1"/>
  <c r="A68" i="5"/>
  <c r="G68" i="5" s="1"/>
  <c r="D67" i="5"/>
  <c r="E67" i="5"/>
  <c r="C67" i="5"/>
  <c r="B67" i="5"/>
  <c r="AL70" i="3"/>
  <c r="AM69" i="3"/>
  <c r="F66" i="3"/>
  <c r="E67" i="3"/>
  <c r="D67" i="3"/>
  <c r="B67" i="3"/>
  <c r="C67" i="3"/>
  <c r="G67" i="3" l="1"/>
  <c r="A68" i="3"/>
  <c r="H66" i="3"/>
  <c r="B66" i="10"/>
  <c r="D66" i="10" s="1"/>
  <c r="F66" i="10" s="1"/>
  <c r="F67" i="5"/>
  <c r="H67" i="5" s="1"/>
  <c r="A69" i="5"/>
  <c r="G69" i="5" s="1"/>
  <c r="D68" i="5"/>
  <c r="B68" i="5"/>
  <c r="E68" i="5"/>
  <c r="C68" i="5"/>
  <c r="AL70" i="5"/>
  <c r="AM69" i="5"/>
  <c r="F67" i="3"/>
  <c r="D68" i="3"/>
  <c r="C68" i="3"/>
  <c r="E68" i="3"/>
  <c r="B68" i="3"/>
  <c r="AL71" i="3"/>
  <c r="AM70" i="3"/>
  <c r="G68" i="3" l="1"/>
  <c r="A69" i="3"/>
  <c r="H67" i="3"/>
  <c r="B67" i="10"/>
  <c r="D67" i="10" s="1"/>
  <c r="F67" i="10" s="1"/>
  <c r="AL71" i="5"/>
  <c r="AM70" i="5"/>
  <c r="F68" i="5"/>
  <c r="H68" i="5" s="1"/>
  <c r="A70" i="5"/>
  <c r="G70" i="5" s="1"/>
  <c r="D69" i="5"/>
  <c r="C69" i="5"/>
  <c r="E69" i="5"/>
  <c r="B69" i="5"/>
  <c r="AL72" i="3"/>
  <c r="AM71" i="3"/>
  <c r="F68" i="3"/>
  <c r="C69" i="3"/>
  <c r="B69" i="3"/>
  <c r="D69" i="3"/>
  <c r="E69" i="3"/>
  <c r="G69" i="3" l="1"/>
  <c r="A70" i="3"/>
  <c r="H68" i="3"/>
  <c r="B68" i="10"/>
  <c r="D68" i="10" s="1"/>
  <c r="F68" i="10" s="1"/>
  <c r="A71" i="5"/>
  <c r="G71" i="5" s="1"/>
  <c r="C70" i="5"/>
  <c r="D70" i="5"/>
  <c r="E70" i="5"/>
  <c r="B70" i="5"/>
  <c r="F69" i="5"/>
  <c r="H69" i="5" s="1"/>
  <c r="AL72" i="5"/>
  <c r="AM71" i="5"/>
  <c r="F69" i="3"/>
  <c r="D70" i="3"/>
  <c r="B70" i="3"/>
  <c r="C70" i="3"/>
  <c r="E70" i="3"/>
  <c r="AM72" i="3"/>
  <c r="AL73" i="3"/>
  <c r="G70" i="3" l="1"/>
  <c r="A71" i="3"/>
  <c r="H69" i="3"/>
  <c r="B69" i="10"/>
  <c r="D69" i="10" s="1"/>
  <c r="F69" i="10" s="1"/>
  <c r="AM72" i="5"/>
  <c r="AL73" i="5"/>
  <c r="F70" i="5"/>
  <c r="H70" i="5" s="1"/>
  <c r="A72" i="5"/>
  <c r="G72" i="5" s="1"/>
  <c r="B71" i="5"/>
  <c r="C71" i="5"/>
  <c r="D71" i="5"/>
  <c r="E71" i="5"/>
  <c r="F70" i="3"/>
  <c r="AL74" i="3"/>
  <c r="AM73" i="3"/>
  <c r="D71" i="3"/>
  <c r="B71" i="3"/>
  <c r="C71" i="3"/>
  <c r="E71" i="3"/>
  <c r="G71" i="3" l="1"/>
  <c r="A72" i="3"/>
  <c r="H70" i="3"/>
  <c r="B70" i="10"/>
  <c r="D70" i="10" s="1"/>
  <c r="F70" i="10" s="1"/>
  <c r="A73" i="5"/>
  <c r="G73" i="5" s="1"/>
  <c r="D72" i="5"/>
  <c r="E72" i="5"/>
  <c r="C72" i="5"/>
  <c r="B72" i="5"/>
  <c r="F71" i="5"/>
  <c r="H71" i="5" s="1"/>
  <c r="AL74" i="5"/>
  <c r="AM73" i="5"/>
  <c r="E72" i="3"/>
  <c r="D72" i="3"/>
  <c r="C72" i="3"/>
  <c r="B72" i="3"/>
  <c r="F71" i="3"/>
  <c r="AL75" i="3"/>
  <c r="AM74" i="3"/>
  <c r="G72" i="3" l="1"/>
  <c r="A73" i="3"/>
  <c r="H71" i="3"/>
  <c r="B71" i="10"/>
  <c r="D71" i="10" s="1"/>
  <c r="F71" i="10" s="1"/>
  <c r="F72" i="5"/>
  <c r="H72" i="5" s="1"/>
  <c r="AL75" i="5"/>
  <c r="AM74" i="5"/>
  <c r="A74" i="5"/>
  <c r="G74" i="5" s="1"/>
  <c r="B73" i="5"/>
  <c r="C73" i="5"/>
  <c r="E73" i="5"/>
  <c r="D73" i="5"/>
  <c r="F72" i="3"/>
  <c r="AL76" i="3"/>
  <c r="AM75" i="3"/>
  <c r="C73" i="3"/>
  <c r="B73" i="3"/>
  <c r="D73" i="3"/>
  <c r="E73" i="3"/>
  <c r="G73" i="3" l="1"/>
  <c r="A74" i="3"/>
  <c r="H72" i="3"/>
  <c r="B72" i="10"/>
  <c r="D72" i="10" s="1"/>
  <c r="F72" i="10" s="1"/>
  <c r="F73" i="5"/>
  <c r="H73" i="5" s="1"/>
  <c r="A75" i="5"/>
  <c r="G75" i="5" s="1"/>
  <c r="C74" i="5"/>
  <c r="D74" i="5"/>
  <c r="B74" i="5"/>
  <c r="E74" i="5"/>
  <c r="AL76" i="5"/>
  <c r="AM75" i="5"/>
  <c r="F73" i="3"/>
  <c r="D74" i="3"/>
  <c r="B74" i="3"/>
  <c r="C74" i="3"/>
  <c r="E74" i="3"/>
  <c r="AM76" i="3"/>
  <c r="AL77" i="3"/>
  <c r="G74" i="3" l="1"/>
  <c r="A75" i="3"/>
  <c r="H73" i="3"/>
  <c r="B73" i="10"/>
  <c r="D73" i="10" s="1"/>
  <c r="F73" i="10" s="1"/>
  <c r="AM76" i="5"/>
  <c r="AL77" i="5"/>
  <c r="F74" i="5"/>
  <c r="H74" i="5" s="1"/>
  <c r="A76" i="5"/>
  <c r="G76" i="5" s="1"/>
  <c r="C75" i="5"/>
  <c r="E75" i="5"/>
  <c r="B75" i="5"/>
  <c r="D75" i="5"/>
  <c r="F74" i="3"/>
  <c r="D75" i="3"/>
  <c r="B75" i="3"/>
  <c r="C75" i="3"/>
  <c r="E75" i="3"/>
  <c r="AL78" i="3"/>
  <c r="AM77" i="3"/>
  <c r="G75" i="3" l="1"/>
  <c r="A76" i="3"/>
  <c r="H74" i="3"/>
  <c r="B74" i="10"/>
  <c r="D74" i="10" s="1"/>
  <c r="F74" i="10" s="1"/>
  <c r="F75" i="5"/>
  <c r="H75" i="5" s="1"/>
  <c r="A77" i="5"/>
  <c r="G77" i="5" s="1"/>
  <c r="C76" i="5"/>
  <c r="E76" i="5"/>
  <c r="B76" i="5"/>
  <c r="D76" i="5"/>
  <c r="AL78" i="5"/>
  <c r="AM77" i="5"/>
  <c r="AL79" i="3"/>
  <c r="AM78" i="3"/>
  <c r="C76" i="3"/>
  <c r="B76" i="3"/>
  <c r="E76" i="3"/>
  <c r="D76" i="3"/>
  <c r="F75" i="3"/>
  <c r="G76" i="3" l="1"/>
  <c r="A77" i="3"/>
  <c r="H75" i="3"/>
  <c r="B75" i="10"/>
  <c r="D75" i="10" s="1"/>
  <c r="F75" i="10" s="1"/>
  <c r="AL79" i="5"/>
  <c r="AM78" i="5"/>
  <c r="F76" i="5"/>
  <c r="H76" i="5" s="1"/>
  <c r="A78" i="5"/>
  <c r="G78" i="5" s="1"/>
  <c r="B77" i="5"/>
  <c r="C77" i="5"/>
  <c r="E77" i="5"/>
  <c r="D77" i="5"/>
  <c r="F76" i="3"/>
  <c r="D77" i="3"/>
  <c r="C77" i="3"/>
  <c r="B77" i="3"/>
  <c r="E77" i="3"/>
  <c r="AL80" i="3"/>
  <c r="AM79" i="3"/>
  <c r="G77" i="3" l="1"/>
  <c r="A78" i="3"/>
  <c r="H76" i="3"/>
  <c r="B76" i="10"/>
  <c r="D76" i="10" s="1"/>
  <c r="F76" i="10" s="1"/>
  <c r="F77" i="5"/>
  <c r="H77" i="5" s="1"/>
  <c r="A79" i="5"/>
  <c r="G79" i="5" s="1"/>
  <c r="D78" i="5"/>
  <c r="E78" i="5"/>
  <c r="B78" i="5"/>
  <c r="C78" i="5"/>
  <c r="AL80" i="5"/>
  <c r="AM79" i="5"/>
  <c r="F77" i="3"/>
  <c r="AM80" i="3"/>
  <c r="AL81" i="3"/>
  <c r="D78" i="3"/>
  <c r="C78" i="3"/>
  <c r="B78" i="3"/>
  <c r="E78" i="3"/>
  <c r="G78" i="3" l="1"/>
  <c r="A79" i="3"/>
  <c r="H77" i="3"/>
  <c r="B77" i="10"/>
  <c r="D77" i="10" s="1"/>
  <c r="F77" i="10" s="1"/>
  <c r="AM80" i="5"/>
  <c r="AL81" i="5"/>
  <c r="F78" i="5"/>
  <c r="H78" i="5" s="1"/>
  <c r="A80" i="5"/>
  <c r="G80" i="5" s="1"/>
  <c r="B79" i="5"/>
  <c r="C79" i="5"/>
  <c r="D79" i="5"/>
  <c r="E79" i="5"/>
  <c r="F78" i="3"/>
  <c r="D79" i="3"/>
  <c r="E79" i="3"/>
  <c r="B79" i="3"/>
  <c r="C79" i="3"/>
  <c r="AL82" i="3"/>
  <c r="AM81" i="3"/>
  <c r="G79" i="3" l="1"/>
  <c r="A80" i="3"/>
  <c r="H78" i="3"/>
  <c r="B78" i="10"/>
  <c r="D78" i="10" s="1"/>
  <c r="F78" i="10" s="1"/>
  <c r="A81" i="5"/>
  <c r="G81" i="5" s="1"/>
  <c r="C80" i="5"/>
  <c r="E80" i="5"/>
  <c r="B80" i="5"/>
  <c r="D80" i="5"/>
  <c r="F79" i="5"/>
  <c r="H79" i="5" s="1"/>
  <c r="AL82" i="5"/>
  <c r="AM81" i="5"/>
  <c r="AL83" i="3"/>
  <c r="AM82" i="3"/>
  <c r="F79" i="3"/>
  <c r="C80" i="3"/>
  <c r="D80" i="3"/>
  <c r="E80" i="3"/>
  <c r="B80" i="3"/>
  <c r="G80" i="3" l="1"/>
  <c r="A81" i="3"/>
  <c r="H79" i="3"/>
  <c r="B79" i="10"/>
  <c r="D79" i="10" s="1"/>
  <c r="F79" i="10" s="1"/>
  <c r="F80" i="5"/>
  <c r="H80" i="5" s="1"/>
  <c r="AL83" i="5"/>
  <c r="AM82" i="5"/>
  <c r="A82" i="5"/>
  <c r="G82" i="5" s="1"/>
  <c r="C81" i="5"/>
  <c r="E81" i="5"/>
  <c r="B81" i="5"/>
  <c r="D81" i="5"/>
  <c r="D81" i="3"/>
  <c r="E81" i="3"/>
  <c r="B81" i="3"/>
  <c r="C81" i="3"/>
  <c r="F80" i="3"/>
  <c r="AL84" i="3"/>
  <c r="AM83" i="3"/>
  <c r="G81" i="3" l="1"/>
  <c r="A82" i="3"/>
  <c r="H80" i="3"/>
  <c r="B80" i="10"/>
  <c r="D80" i="10" s="1"/>
  <c r="F80" i="10" s="1"/>
  <c r="F81" i="5"/>
  <c r="H81" i="5" s="1"/>
  <c r="A83" i="5"/>
  <c r="G83" i="5" s="1"/>
  <c r="E82" i="5"/>
  <c r="C82" i="5"/>
  <c r="D82" i="5"/>
  <c r="B82" i="5"/>
  <c r="AL84" i="5"/>
  <c r="AM83" i="5"/>
  <c r="AM84" i="3"/>
  <c r="AL85" i="3"/>
  <c r="D82" i="3"/>
  <c r="B82" i="3"/>
  <c r="C82" i="3"/>
  <c r="E82" i="3"/>
  <c r="F81" i="3"/>
  <c r="G82" i="3" l="1"/>
  <c r="A83" i="3"/>
  <c r="H81" i="3"/>
  <c r="B81" i="10"/>
  <c r="D81" i="10" s="1"/>
  <c r="F81" i="10" s="1"/>
  <c r="F82" i="5"/>
  <c r="H82" i="5" s="1"/>
  <c r="AM84" i="5"/>
  <c r="AL85" i="5"/>
  <c r="A84" i="5"/>
  <c r="G84" i="5" s="1"/>
  <c r="B83" i="5"/>
  <c r="D83" i="5"/>
  <c r="E83" i="5"/>
  <c r="C83" i="5"/>
  <c r="F82" i="3"/>
  <c r="AM85" i="3"/>
  <c r="AL86" i="3"/>
  <c r="D83" i="3"/>
  <c r="B83" i="3"/>
  <c r="C83" i="3"/>
  <c r="E83" i="3"/>
  <c r="G83" i="3" l="1"/>
  <c r="A84" i="3"/>
  <c r="H82" i="3"/>
  <c r="B82" i="10"/>
  <c r="D82" i="10" s="1"/>
  <c r="F82" i="10" s="1"/>
  <c r="F83" i="5"/>
  <c r="H83" i="5" s="1"/>
  <c r="A85" i="5"/>
  <c r="G85" i="5" s="1"/>
  <c r="D84" i="5"/>
  <c r="C84" i="5"/>
  <c r="E84" i="5"/>
  <c r="B84" i="5"/>
  <c r="AL86" i="5"/>
  <c r="AM85" i="5"/>
  <c r="F83" i="3"/>
  <c r="AL87" i="3"/>
  <c r="AM86" i="3"/>
  <c r="C84" i="3"/>
  <c r="B84" i="3"/>
  <c r="D84" i="3"/>
  <c r="E84" i="3"/>
  <c r="G84" i="3" l="1"/>
  <c r="A85" i="3"/>
  <c r="H83" i="3"/>
  <c r="B83" i="10"/>
  <c r="D83" i="10" s="1"/>
  <c r="F83" i="10" s="1"/>
  <c r="F84" i="5"/>
  <c r="H84" i="5" s="1"/>
  <c r="A86" i="5"/>
  <c r="G86" i="5" s="1"/>
  <c r="E85" i="5"/>
  <c r="D85" i="5"/>
  <c r="C85" i="5"/>
  <c r="B85" i="5"/>
  <c r="AL87" i="5"/>
  <c r="AM86" i="5"/>
  <c r="F84" i="3"/>
  <c r="E85" i="3"/>
  <c r="C85" i="3"/>
  <c r="B85" i="3"/>
  <c r="D85" i="3"/>
  <c r="AL88" i="3"/>
  <c r="AM87" i="3"/>
  <c r="G85" i="3" l="1"/>
  <c r="A86" i="3"/>
  <c r="H84" i="3"/>
  <c r="B84" i="10"/>
  <c r="D84" i="10" s="1"/>
  <c r="F84" i="10" s="1"/>
  <c r="F85" i="5"/>
  <c r="H85" i="5" s="1"/>
  <c r="AL88" i="5"/>
  <c r="AM87" i="5"/>
  <c r="A87" i="5"/>
  <c r="G87" i="5" s="1"/>
  <c r="E86" i="5"/>
  <c r="D86" i="5"/>
  <c r="B86" i="5"/>
  <c r="C86" i="5"/>
  <c r="F85" i="3"/>
  <c r="AM88" i="3"/>
  <c r="AL89" i="3"/>
  <c r="E86" i="3"/>
  <c r="B86" i="3"/>
  <c r="C86" i="3"/>
  <c r="D86" i="3"/>
  <c r="G86" i="3" l="1"/>
  <c r="A87" i="3"/>
  <c r="H85" i="3"/>
  <c r="B85" i="10"/>
  <c r="D85" i="10" s="1"/>
  <c r="F85" i="10" s="1"/>
  <c r="F86" i="5"/>
  <c r="H86" i="5" s="1"/>
  <c r="A88" i="5"/>
  <c r="G88" i="5" s="1"/>
  <c r="B87" i="5"/>
  <c r="D87" i="5"/>
  <c r="E87" i="5"/>
  <c r="C87" i="5"/>
  <c r="AM88" i="5"/>
  <c r="AL89" i="5"/>
  <c r="F86" i="3"/>
  <c r="AM89" i="3"/>
  <c r="AL90" i="3"/>
  <c r="E87" i="3"/>
  <c r="B87" i="3"/>
  <c r="D87" i="3"/>
  <c r="C87" i="3"/>
  <c r="G87" i="3" l="1"/>
  <c r="A88" i="3"/>
  <c r="H86" i="3"/>
  <c r="B86" i="10"/>
  <c r="D86" i="10" s="1"/>
  <c r="F86" i="10" s="1"/>
  <c r="AL90" i="5"/>
  <c r="AM89" i="5"/>
  <c r="F87" i="5"/>
  <c r="H87" i="5" s="1"/>
  <c r="A89" i="5"/>
  <c r="G89" i="5" s="1"/>
  <c r="D88" i="5"/>
  <c r="E88" i="5"/>
  <c r="B88" i="5"/>
  <c r="C88" i="5"/>
  <c r="F87" i="3"/>
  <c r="AL91" i="3"/>
  <c r="AM90" i="3"/>
  <c r="E88" i="3"/>
  <c r="C88" i="3"/>
  <c r="D88" i="3"/>
  <c r="B88" i="3"/>
  <c r="G88" i="3" l="1"/>
  <c r="A89" i="3"/>
  <c r="H87" i="3"/>
  <c r="B87" i="10"/>
  <c r="D87" i="10" s="1"/>
  <c r="F87" i="10" s="1"/>
  <c r="F88" i="5"/>
  <c r="H88" i="5" s="1"/>
  <c r="A90" i="5"/>
  <c r="G90" i="5" s="1"/>
  <c r="B89" i="5"/>
  <c r="D89" i="5"/>
  <c r="E89" i="5"/>
  <c r="C89" i="5"/>
  <c r="AL91" i="5"/>
  <c r="AM90" i="5"/>
  <c r="F88" i="3"/>
  <c r="E89" i="3"/>
  <c r="B89" i="3"/>
  <c r="C89" i="3"/>
  <c r="D89" i="3"/>
  <c r="AL92" i="3"/>
  <c r="AM91" i="3"/>
  <c r="G89" i="3" l="1"/>
  <c r="A90" i="3"/>
  <c r="H88" i="3"/>
  <c r="B88" i="10"/>
  <c r="D88" i="10" s="1"/>
  <c r="F88" i="10" s="1"/>
  <c r="AL92" i="5"/>
  <c r="AM91" i="5"/>
  <c r="F89" i="5"/>
  <c r="H89" i="5" s="1"/>
  <c r="A91" i="5"/>
  <c r="G91" i="5" s="1"/>
  <c r="B90" i="5"/>
  <c r="D90" i="5"/>
  <c r="E90" i="5"/>
  <c r="C90" i="5"/>
  <c r="F89" i="3"/>
  <c r="AM92" i="3"/>
  <c r="AL93" i="3"/>
  <c r="E90" i="3"/>
  <c r="C90" i="3"/>
  <c r="D90" i="3"/>
  <c r="B90" i="3"/>
  <c r="G90" i="3" l="1"/>
  <c r="A91" i="3"/>
  <c r="H89" i="3"/>
  <c r="B89" i="10"/>
  <c r="D89" i="10" s="1"/>
  <c r="F89" i="10" s="1"/>
  <c r="A92" i="5"/>
  <c r="G92" i="5" s="1"/>
  <c r="B91" i="5"/>
  <c r="D91" i="5"/>
  <c r="E91" i="5"/>
  <c r="C91" i="5"/>
  <c r="F90" i="5"/>
  <c r="H90" i="5" s="1"/>
  <c r="AM92" i="5"/>
  <c r="AL93" i="5"/>
  <c r="E91" i="3"/>
  <c r="D91" i="3"/>
  <c r="B91" i="3"/>
  <c r="C91" i="3"/>
  <c r="AM93" i="3"/>
  <c r="AL94" i="3"/>
  <c r="F90" i="3"/>
  <c r="G91" i="3" l="1"/>
  <c r="A92" i="3"/>
  <c r="H90" i="3"/>
  <c r="B90" i="10"/>
  <c r="D90" i="10" s="1"/>
  <c r="F90" i="10" s="1"/>
  <c r="F91" i="5"/>
  <c r="H91" i="5" s="1"/>
  <c r="AL94" i="5"/>
  <c r="AM93" i="5"/>
  <c r="A93" i="5"/>
  <c r="G93" i="5" s="1"/>
  <c r="E92" i="5"/>
  <c r="C92" i="5"/>
  <c r="B92" i="5"/>
  <c r="D92" i="5"/>
  <c r="F91" i="3"/>
  <c r="AL95" i="3"/>
  <c r="AM94" i="3"/>
  <c r="E92" i="3"/>
  <c r="C92" i="3"/>
  <c r="D92" i="3"/>
  <c r="B92" i="3"/>
  <c r="G92" i="3" l="1"/>
  <c r="A93" i="3"/>
  <c r="H91" i="3"/>
  <c r="B91" i="10"/>
  <c r="D91" i="10" s="1"/>
  <c r="F91" i="10" s="1"/>
  <c r="F92" i="5"/>
  <c r="H92" i="5" s="1"/>
  <c r="A94" i="5"/>
  <c r="G94" i="5" s="1"/>
  <c r="D93" i="5"/>
  <c r="E93" i="5"/>
  <c r="C93" i="5"/>
  <c r="B93" i="5"/>
  <c r="AL95" i="5"/>
  <c r="AM94" i="5"/>
  <c r="F92" i="3"/>
  <c r="B93" i="3"/>
  <c r="D93" i="3"/>
  <c r="C93" i="3"/>
  <c r="E93" i="3"/>
  <c r="AL96" i="3"/>
  <c r="AM95" i="3"/>
  <c r="G93" i="3" l="1"/>
  <c r="A94" i="3"/>
  <c r="H92" i="3"/>
  <c r="B92" i="10"/>
  <c r="D92" i="10" s="1"/>
  <c r="F92" i="10" s="1"/>
  <c r="AL96" i="5"/>
  <c r="AM95" i="5"/>
  <c r="F93" i="5"/>
  <c r="H93" i="5" s="1"/>
  <c r="A95" i="5"/>
  <c r="G95" i="5" s="1"/>
  <c r="D94" i="5"/>
  <c r="B94" i="5"/>
  <c r="C94" i="5"/>
  <c r="E94" i="5"/>
  <c r="AM96" i="3"/>
  <c r="AL97" i="3"/>
  <c r="D94" i="3"/>
  <c r="E94" i="3"/>
  <c r="B94" i="3"/>
  <c r="C94" i="3"/>
  <c r="F93" i="3"/>
  <c r="G94" i="3" l="1"/>
  <c r="A95" i="3"/>
  <c r="H93" i="3"/>
  <c r="B93" i="10"/>
  <c r="D93" i="10" s="1"/>
  <c r="F93" i="10" s="1"/>
  <c r="A96" i="5"/>
  <c r="G96" i="5" s="1"/>
  <c r="D95" i="5"/>
  <c r="E95" i="5"/>
  <c r="C95" i="5"/>
  <c r="B95" i="5"/>
  <c r="F94" i="5"/>
  <c r="H94" i="5" s="1"/>
  <c r="AM96" i="5"/>
  <c r="AL97" i="5"/>
  <c r="F94" i="3"/>
  <c r="AM97" i="3"/>
  <c r="AL98" i="3"/>
  <c r="E95" i="3"/>
  <c r="D95" i="3"/>
  <c r="B95" i="3"/>
  <c r="C95" i="3"/>
  <c r="G95" i="3" l="1"/>
  <c r="A96" i="3"/>
  <c r="H94" i="3"/>
  <c r="B94" i="10"/>
  <c r="D94" i="10" s="1"/>
  <c r="F94" i="10" s="1"/>
  <c r="F95" i="5"/>
  <c r="H95" i="5" s="1"/>
  <c r="AL98" i="5"/>
  <c r="AM97" i="5"/>
  <c r="A97" i="5"/>
  <c r="G97" i="5" s="1"/>
  <c r="E96" i="5"/>
  <c r="B96" i="5"/>
  <c r="D96" i="5"/>
  <c r="C96" i="5"/>
  <c r="F95" i="3"/>
  <c r="C96" i="3"/>
  <c r="E96" i="3"/>
  <c r="D96" i="3"/>
  <c r="B96" i="3"/>
  <c r="AL99" i="3"/>
  <c r="AM98" i="3"/>
  <c r="G96" i="3" l="1"/>
  <c r="A97" i="3"/>
  <c r="H95" i="3"/>
  <c r="B95" i="10"/>
  <c r="D95" i="10" s="1"/>
  <c r="F95" i="10" s="1"/>
  <c r="F96" i="5"/>
  <c r="H96" i="5" s="1"/>
  <c r="A98" i="5"/>
  <c r="G98" i="5" s="1"/>
  <c r="B97" i="5"/>
  <c r="D97" i="5"/>
  <c r="E97" i="5"/>
  <c r="C97" i="5"/>
  <c r="AL99" i="5"/>
  <c r="AM98" i="5"/>
  <c r="F96" i="3"/>
  <c r="B97" i="3"/>
  <c r="D97" i="3"/>
  <c r="C97" i="3"/>
  <c r="E97" i="3"/>
  <c r="AL100" i="3"/>
  <c r="AM99" i="3"/>
  <c r="G97" i="3" l="1"/>
  <c r="A98" i="3"/>
  <c r="H96" i="3"/>
  <c r="B96" i="10"/>
  <c r="D96" i="10" s="1"/>
  <c r="F96" i="10" s="1"/>
  <c r="AL100" i="5"/>
  <c r="AM99" i="5"/>
  <c r="A99" i="5"/>
  <c r="G99" i="5" s="1"/>
  <c r="B98" i="5"/>
  <c r="C98" i="5"/>
  <c r="E98" i="5"/>
  <c r="D98" i="5"/>
  <c r="F97" i="5"/>
  <c r="H97" i="5" s="1"/>
  <c r="AM100" i="3"/>
  <c r="AL101" i="3"/>
  <c r="D98" i="3"/>
  <c r="B98" i="3"/>
  <c r="C98" i="3"/>
  <c r="E98" i="3"/>
  <c r="F97" i="3"/>
  <c r="G98" i="3" l="1"/>
  <c r="A99" i="3"/>
  <c r="H97" i="3"/>
  <c r="B97" i="10"/>
  <c r="D97" i="10" s="1"/>
  <c r="F97" i="10" s="1"/>
  <c r="A100" i="5"/>
  <c r="G100" i="5" s="1"/>
  <c r="B99" i="5"/>
  <c r="C99" i="5"/>
  <c r="D99" i="5"/>
  <c r="E99" i="5"/>
  <c r="F98" i="5"/>
  <c r="H98" i="5" s="1"/>
  <c r="AM100" i="5"/>
  <c r="AL101" i="5"/>
  <c r="F98" i="3"/>
  <c r="E99" i="3"/>
  <c r="D99" i="3"/>
  <c r="B99" i="3"/>
  <c r="C99" i="3"/>
  <c r="AL102" i="3"/>
  <c r="AM101" i="3"/>
  <c r="G99" i="3" l="1"/>
  <c r="A100" i="3"/>
  <c r="H98" i="3"/>
  <c r="B98" i="10"/>
  <c r="D98" i="10" s="1"/>
  <c r="F98" i="10" s="1"/>
  <c r="F99" i="5"/>
  <c r="H99" i="5" s="1"/>
  <c r="AL102" i="5"/>
  <c r="AM101" i="5"/>
  <c r="A101" i="5"/>
  <c r="G101" i="5" s="1"/>
  <c r="D100" i="5"/>
  <c r="B100" i="5"/>
  <c r="E100" i="5"/>
  <c r="C100" i="5"/>
  <c r="F99" i="3"/>
  <c r="AL103" i="3"/>
  <c r="AM102" i="3"/>
  <c r="E100" i="3"/>
  <c r="C100" i="3"/>
  <c r="B100" i="3"/>
  <c r="D100" i="3"/>
  <c r="G100" i="3" l="1"/>
  <c r="A101" i="3"/>
  <c r="H99" i="3"/>
  <c r="B99" i="10"/>
  <c r="D99" i="10" s="1"/>
  <c r="F99" i="10" s="1"/>
  <c r="F100" i="5"/>
  <c r="H100" i="5" s="1"/>
  <c r="A102" i="5"/>
  <c r="G102" i="5" s="1"/>
  <c r="D101" i="5"/>
  <c r="C101" i="5"/>
  <c r="B101" i="5"/>
  <c r="E101" i="5"/>
  <c r="AL103" i="5"/>
  <c r="AM102" i="5"/>
  <c r="F100" i="3"/>
  <c r="C101" i="3"/>
  <c r="B101" i="3"/>
  <c r="D101" i="3"/>
  <c r="E101" i="3"/>
  <c r="AL104" i="3"/>
  <c r="AM103" i="3"/>
  <c r="G101" i="3" l="1"/>
  <c r="A102" i="3"/>
  <c r="H100" i="3"/>
  <c r="B100" i="10"/>
  <c r="D100" i="10" s="1"/>
  <c r="F100" i="10" s="1"/>
  <c r="AL104" i="5"/>
  <c r="AM103" i="5"/>
  <c r="A103" i="5"/>
  <c r="G103" i="5" s="1"/>
  <c r="D102" i="5"/>
  <c r="C102" i="5"/>
  <c r="B102" i="5"/>
  <c r="E102" i="5"/>
  <c r="F101" i="5"/>
  <c r="H101" i="5" s="1"/>
  <c r="D102" i="3"/>
  <c r="B102" i="3"/>
  <c r="C102" i="3"/>
  <c r="E102" i="3"/>
  <c r="F101" i="3"/>
  <c r="AM104" i="3"/>
  <c r="AL105" i="3"/>
  <c r="G102" i="3" l="1"/>
  <c r="A103" i="3"/>
  <c r="H101" i="3"/>
  <c r="B101" i="10"/>
  <c r="D101" i="10" s="1"/>
  <c r="F101" i="10" s="1"/>
  <c r="AM104" i="5"/>
  <c r="AL105" i="5"/>
  <c r="A104" i="5"/>
  <c r="G104" i="5" s="1"/>
  <c r="C103" i="5"/>
  <c r="E103" i="5"/>
  <c r="B103" i="5"/>
  <c r="D103" i="5"/>
  <c r="F102" i="5"/>
  <c r="H102" i="5" s="1"/>
  <c r="F102" i="3"/>
  <c r="AM105" i="3"/>
  <c r="AL106" i="3"/>
  <c r="E103" i="3"/>
  <c r="D103" i="3"/>
  <c r="B103" i="3"/>
  <c r="C103" i="3"/>
  <c r="G103" i="3" l="1"/>
  <c r="A104" i="3"/>
  <c r="G104" i="3" s="1"/>
  <c r="H102" i="3"/>
  <c r="B102" i="10"/>
  <c r="D102" i="10" s="1"/>
  <c r="F102" i="10" s="1"/>
  <c r="F103" i="5"/>
  <c r="H103" i="5" s="1"/>
  <c r="C104" i="5"/>
  <c r="B104" i="5"/>
  <c r="D104" i="5"/>
  <c r="E104" i="5"/>
  <c r="AL106" i="5"/>
  <c r="AM105" i="5"/>
  <c r="F103" i="3"/>
  <c r="D104" i="3"/>
  <c r="B104" i="3"/>
  <c r="E104" i="3"/>
  <c r="C104" i="3"/>
  <c r="AL107" i="3"/>
  <c r="AM106" i="3"/>
  <c r="H103" i="3" l="1"/>
  <c r="B103" i="10"/>
  <c r="D103" i="10" s="1"/>
  <c r="F103" i="10" s="1"/>
  <c r="AL107" i="5"/>
  <c r="AM106" i="5"/>
  <c r="F104" i="5"/>
  <c r="H104" i="5" s="1"/>
  <c r="AL108" i="3"/>
  <c r="AM107" i="3"/>
  <c r="F104" i="3"/>
  <c r="H104" i="3" l="1"/>
  <c r="B104" i="10"/>
  <c r="D104" i="10" s="1"/>
  <c r="F104" i="10" s="1"/>
  <c r="AL108" i="5"/>
  <c r="AM107" i="5"/>
  <c r="AM108" i="3"/>
  <c r="AL109" i="3"/>
  <c r="AM108" i="5" l="1"/>
  <c r="AL109" i="5"/>
  <c r="AL110" i="3"/>
  <c r="AM109" i="3"/>
  <c r="AL110" i="5" l="1"/>
  <c r="AM109" i="5"/>
  <c r="AL111" i="3"/>
  <c r="AM110" i="3"/>
  <c r="AL111" i="5" l="1"/>
  <c r="AM110" i="5"/>
  <c r="AL112" i="3"/>
  <c r="AM111" i="3"/>
  <c r="AL112" i="5" l="1"/>
  <c r="AM111" i="5"/>
  <c r="AM112" i="3"/>
  <c r="AL113" i="3"/>
  <c r="AM112" i="5" l="1"/>
  <c r="AL113" i="5"/>
  <c r="AL114" i="3"/>
  <c r="AM113" i="3"/>
  <c r="AL114" i="5" l="1"/>
  <c r="AM113" i="5"/>
  <c r="AL115" i="3"/>
  <c r="AM114" i="3"/>
  <c r="AL115" i="5" l="1"/>
  <c r="AM114" i="5"/>
  <c r="AL116" i="3"/>
  <c r="AM115" i="3"/>
  <c r="AL116" i="5" l="1"/>
  <c r="AM115" i="5"/>
  <c r="AM116" i="3"/>
  <c r="AL117" i="3"/>
  <c r="AM116" i="5" l="1"/>
  <c r="AL117" i="5"/>
  <c r="AL118" i="3"/>
  <c r="AM117" i="3"/>
  <c r="AL118" i="5" l="1"/>
  <c r="AM117" i="5"/>
  <c r="AL119" i="3"/>
  <c r="AM118" i="3"/>
  <c r="AL119" i="5" l="1"/>
  <c r="AM118" i="5"/>
  <c r="AL120" i="3"/>
  <c r="AM119" i="3"/>
  <c r="AL120" i="5" l="1"/>
  <c r="AM119" i="5"/>
  <c r="AM120" i="3"/>
  <c r="AL121" i="3"/>
  <c r="AM120" i="5" l="1"/>
  <c r="AL121" i="5"/>
  <c r="AL122" i="3"/>
  <c r="AM121" i="3"/>
  <c r="AL122" i="5" l="1"/>
  <c r="AM121" i="5"/>
  <c r="AL123" i="3"/>
  <c r="AM122" i="3"/>
  <c r="AL123" i="5" l="1"/>
  <c r="AM122" i="5"/>
  <c r="AL124" i="3"/>
  <c r="AM123" i="3"/>
  <c r="AL124" i="5" l="1"/>
  <c r="AM123" i="5"/>
  <c r="AM124" i="3"/>
  <c r="AL125" i="3"/>
  <c r="AM124" i="5" l="1"/>
  <c r="AL125" i="5"/>
  <c r="AL126" i="3"/>
  <c r="AM125" i="3"/>
  <c r="AL126" i="5" l="1"/>
  <c r="AM125" i="5"/>
  <c r="AL127" i="3"/>
  <c r="AM126" i="3"/>
  <c r="AL127" i="5" l="1"/>
  <c r="AM126" i="5"/>
  <c r="AL128" i="3"/>
  <c r="AM128" i="3" s="1"/>
  <c r="AM127" i="3"/>
  <c r="AL128" i="5" l="1"/>
  <c r="AM128" i="5" s="1"/>
  <c r="AM127" i="5"/>
  <c r="H20" i="1" l="1"/>
  <c r="C20" i="1"/>
  <c r="D11" i="1" l="1"/>
  <c r="I11" i="1" s="1"/>
  <c r="I14" i="1" l="1"/>
  <c r="H21" i="1"/>
  <c r="C22" i="1"/>
  <c r="H22" i="1" s="1"/>
  <c r="C23" i="1"/>
  <c r="H23" i="1" s="1"/>
  <c r="D12" i="1"/>
  <c r="I15" i="1" l="1"/>
  <c r="I16" i="1" s="1"/>
  <c r="H19" i="1" s="1"/>
  <c r="H25" i="1" s="1"/>
  <c r="C21" i="1"/>
  <c r="D14" i="1"/>
  <c r="D15" i="1" l="1"/>
  <c r="D16" i="1" s="1"/>
  <c r="C19" i="1" l="1"/>
  <c r="C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4" authorId="0" shapeId="0" xr:uid="{8D64C19D-5DD9-4B28-B816-0F9827631B8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The 1st notional of 30MM is applied to calculate the interest for the period 28 Mar 26 - 28 Sep 26.  Similarly, the last notional of 20MM is used to calculate interest for the period 28 Sep 26 to 28 Mar 27 </t>
        </r>
      </text>
    </comment>
    <comment ref="D38" authorId="0" shapeId="0" xr:uid="{83458CA7-D08C-4BD3-A284-1503EB70EAC5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The 1st notional of 30MM is applied to calculate the interest for the period 28 Mar 26 - 28 Sep 26.  Similarly, the last notional of 20MM is used to calculate interest for the period 28 Sep 25 to 28 Mar 27 </t>
        </r>
      </text>
    </comment>
  </commentList>
</comments>
</file>

<file path=xl/sharedStrings.xml><?xml version="1.0" encoding="utf-8"?>
<sst xmlns="http://schemas.openxmlformats.org/spreadsheetml/2006/main" count="386" uniqueCount="180">
  <si>
    <t>S0</t>
  </si>
  <si>
    <t>sigma</t>
  </si>
  <si>
    <t>d1</t>
  </si>
  <si>
    <t>d2</t>
  </si>
  <si>
    <t>risk-free rate</t>
  </si>
  <si>
    <t>option life</t>
  </si>
  <si>
    <t>strike</t>
  </si>
  <si>
    <t xml:space="preserve">ai)      </t>
  </si>
  <si>
    <t>aii)</t>
  </si>
  <si>
    <t>1)</t>
  </si>
  <si>
    <t xml:space="preserve">                life of option is 8 months, annualized volatility is 30%, annualized continuously compounded risk-free rate is 5%. </t>
  </si>
  <si>
    <t xml:space="preserve">                and annualized continously compounded dividend rate is 2%</t>
  </si>
  <si>
    <t>dividend rate</t>
  </si>
  <si>
    <t>ai)          At the money forward call option</t>
  </si>
  <si>
    <t>aii)          At the money spot put option</t>
  </si>
  <si>
    <t>bi)</t>
  </si>
  <si>
    <t>bii)</t>
  </si>
  <si>
    <t>ATM Spot Call</t>
  </si>
  <si>
    <t>ATM Fwd Put</t>
  </si>
  <si>
    <t>K</t>
  </si>
  <si>
    <t>Exp(-rT)</t>
  </si>
  <si>
    <t>ATM Fwd Call</t>
  </si>
  <si>
    <t>Call (K) - Put(K) = S0*exp(-qT) - K*exp(-rT)</t>
  </si>
  <si>
    <t>Exp(-qT)</t>
  </si>
  <si>
    <t>Option type</t>
  </si>
  <si>
    <t>Net Effect</t>
  </si>
  <si>
    <t>Option 1</t>
  </si>
  <si>
    <t>Option 2</t>
  </si>
  <si>
    <t>Option 3</t>
  </si>
  <si>
    <t>Option 4</t>
  </si>
  <si>
    <t>Inputs</t>
  </si>
  <si>
    <t>Current Stock Price ($)</t>
  </si>
  <si>
    <t>Stock price At Maturity</t>
  </si>
  <si>
    <t>Profit</t>
  </si>
  <si>
    <t>Option Type</t>
  </si>
  <si>
    <t>C</t>
  </si>
  <si>
    <t>Postion</t>
  </si>
  <si>
    <t>Strike Price ($)</t>
  </si>
  <si>
    <t>Risk Free Rate (%)</t>
  </si>
  <si>
    <t>Dividend Rate (%)</t>
  </si>
  <si>
    <t>Volatility Rate (%)</t>
  </si>
  <si>
    <t>Option Life (years)</t>
  </si>
  <si>
    <t>Include Premium</t>
  </si>
  <si>
    <t>Computations</t>
  </si>
  <si>
    <t>Premium</t>
  </si>
  <si>
    <t>Payoff To Replicate</t>
  </si>
  <si>
    <t>Slippage</t>
  </si>
  <si>
    <t>ST</t>
  </si>
  <si>
    <t>payoff</t>
  </si>
  <si>
    <t>N</t>
  </si>
  <si>
    <t>Total Premium</t>
  </si>
  <si>
    <t>Exact Value</t>
  </si>
  <si>
    <t>Lower Strike</t>
  </si>
  <si>
    <t>Higher Strike</t>
  </si>
  <si>
    <t>Structure To Price</t>
  </si>
  <si>
    <t>Replication Position</t>
  </si>
  <si>
    <t>current stock price</t>
  </si>
  <si>
    <t>strike price</t>
  </si>
  <si>
    <t>risk free</t>
  </si>
  <si>
    <t>r</t>
  </si>
  <si>
    <t>volatility</t>
  </si>
  <si>
    <t>s</t>
  </si>
  <si>
    <t>T</t>
  </si>
  <si>
    <r>
      <t>[ln(S0/S0)+(r+0.5*</t>
    </r>
    <r>
      <rPr>
        <sz val="10"/>
        <rFont val="Symbol"/>
        <family val="1"/>
        <charset val="2"/>
      </rPr>
      <t>s * s)T]/(s * ÖT</t>
    </r>
    <r>
      <rPr>
        <sz val="10"/>
        <rFont val="Arial"/>
        <family val="2"/>
      </rPr>
      <t>)</t>
    </r>
  </si>
  <si>
    <r>
      <t>[(r+0.5*</t>
    </r>
    <r>
      <rPr>
        <sz val="10"/>
        <rFont val="Symbol"/>
        <family val="1"/>
        <charset val="2"/>
      </rPr>
      <t>s *s</t>
    </r>
    <r>
      <rPr>
        <sz val="10"/>
        <rFont val="Arial"/>
        <family val="2"/>
      </rPr>
      <t>)T]/(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 xml:space="preserve"> * </t>
    </r>
    <r>
      <rPr>
        <sz val="10"/>
        <rFont val="Symbol"/>
        <family val="1"/>
        <charset val="2"/>
      </rPr>
      <t>Ö</t>
    </r>
    <r>
      <rPr>
        <sz val="10"/>
        <rFont val="Arial"/>
        <family val="2"/>
      </rPr>
      <t>T)</t>
    </r>
  </si>
  <si>
    <r>
      <t>[(r-0.5*</t>
    </r>
    <r>
      <rPr>
        <sz val="10"/>
        <rFont val="Symbol"/>
        <family val="1"/>
        <charset val="2"/>
      </rPr>
      <t>s *s</t>
    </r>
    <r>
      <rPr>
        <sz val="10"/>
        <rFont val="Arial"/>
        <family val="2"/>
      </rPr>
      <t>)T]/(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 xml:space="preserve"> * </t>
    </r>
    <r>
      <rPr>
        <sz val="10"/>
        <rFont val="Symbol"/>
        <family val="1"/>
        <charset val="2"/>
      </rPr>
      <t>Ö</t>
    </r>
    <r>
      <rPr>
        <sz val="10"/>
        <rFont val="Arial"/>
        <family val="2"/>
      </rPr>
      <t>T)</t>
    </r>
  </si>
  <si>
    <t>a)</t>
  </si>
  <si>
    <t>Since call prem = 2</t>
  </si>
  <si>
    <t>we have call prem = S0[N(d1) - exp(-rT) N(d2) ]</t>
  </si>
  <si>
    <t xml:space="preserve">                            = S0[0.65 - (10/12)*(1-0.3)]</t>
  </si>
  <si>
    <t xml:space="preserve">                            = 0.066667* S0</t>
  </si>
  <si>
    <t>Thus S0 = 2/0.066667</t>
  </si>
  <si>
    <t>S0 = 30</t>
  </si>
  <si>
    <t>b)                      Binary prem = 100 * exp (-r* 2T) * Prob (exercise)</t>
  </si>
  <si>
    <t xml:space="preserve">                         But from the definition of N(d2) = 0.7, we get that d2 = 0.524401</t>
  </si>
  <si>
    <r>
      <t xml:space="preserve">                         Prob (exercise) = N((r-0.5*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>*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>)2T/</t>
    </r>
    <r>
      <rPr>
        <sz val="10"/>
        <rFont val="Symbol"/>
        <family val="1"/>
        <charset val="2"/>
      </rPr>
      <t>sÖ2</t>
    </r>
    <r>
      <rPr>
        <sz val="10"/>
        <rFont val="Arial"/>
        <family val="2"/>
      </rPr>
      <t xml:space="preserve">T)=N(d2 * </t>
    </r>
    <r>
      <rPr>
        <sz val="10"/>
        <rFont val="Symbol"/>
        <family val="1"/>
        <charset val="2"/>
      </rPr>
      <t>Ö</t>
    </r>
    <r>
      <rPr>
        <sz val="10"/>
        <rFont val="Arial"/>
        <family val="2"/>
      </rPr>
      <t>2)</t>
    </r>
  </si>
  <si>
    <t xml:space="preserve">              =</t>
  </si>
  <si>
    <r>
      <t xml:space="preserve">                         Thus N(0.524401 * </t>
    </r>
    <r>
      <rPr>
        <sz val="10"/>
        <rFont val="Symbol"/>
        <family val="1"/>
        <charset val="2"/>
      </rPr>
      <t>Ö</t>
    </r>
    <r>
      <rPr>
        <sz val="10"/>
        <rFont val="Arial"/>
        <family val="2"/>
      </rPr>
      <t>2) = 0.7708</t>
    </r>
  </si>
  <si>
    <t xml:space="preserve">                         Hence binary premium = 100 * 100/144 * 0.7708</t>
  </si>
  <si>
    <t>P</t>
  </si>
  <si>
    <t>Mid Strike</t>
  </si>
  <si>
    <t>Upper Strike</t>
  </si>
  <si>
    <t>Structure 1</t>
  </si>
  <si>
    <t>Structure 2</t>
  </si>
  <si>
    <t>ATM Forward Put Premium</t>
  </si>
  <si>
    <t>ATM Spot call Premium</t>
  </si>
  <si>
    <t>ATM spot Put</t>
  </si>
  <si>
    <t>Working</t>
  </si>
  <si>
    <t>Delta t</t>
  </si>
  <si>
    <t>u</t>
  </si>
  <si>
    <t>d</t>
  </si>
  <si>
    <t>p</t>
  </si>
  <si>
    <t>Risk free</t>
  </si>
  <si>
    <t>Option Value</t>
  </si>
  <si>
    <t>Dividend</t>
  </si>
  <si>
    <t>Term (yrs)</t>
  </si>
  <si>
    <t>n</t>
  </si>
  <si>
    <t>2 Delta t</t>
  </si>
  <si>
    <t>3 Delta t</t>
  </si>
  <si>
    <t>4 Delta t</t>
  </si>
  <si>
    <t>5 Delta t</t>
  </si>
  <si>
    <t>6 Delta t</t>
  </si>
  <si>
    <t>7 Delta t</t>
  </si>
  <si>
    <t>8 Delta t</t>
  </si>
  <si>
    <t>9 Delta t</t>
  </si>
  <si>
    <t>10 Delta t</t>
  </si>
  <si>
    <t>11 Delta t</t>
  </si>
  <si>
    <t>12 Delta t</t>
  </si>
  <si>
    <t>13 Delta t</t>
  </si>
  <si>
    <t>14 Delta t</t>
  </si>
  <si>
    <t>15 Delta t</t>
  </si>
  <si>
    <t>16 Delta t</t>
  </si>
  <si>
    <t>17 Delta t</t>
  </si>
  <si>
    <t>18 Delta t</t>
  </si>
  <si>
    <t>19 Delta t</t>
  </si>
  <si>
    <t>20 Delta t</t>
  </si>
  <si>
    <t>21 Delta t</t>
  </si>
  <si>
    <t>22 Delta t</t>
  </si>
  <si>
    <t>23 Delta t</t>
  </si>
  <si>
    <t>24 Delta t</t>
  </si>
  <si>
    <t>25 Delta t</t>
  </si>
  <si>
    <t>26 Delta t</t>
  </si>
  <si>
    <t>27 Delta t</t>
  </si>
  <si>
    <t>28 Delta t</t>
  </si>
  <si>
    <t>29 Delta t</t>
  </si>
  <si>
    <t>30 Delta t</t>
  </si>
  <si>
    <t>X1</t>
  </si>
  <si>
    <t>X2</t>
  </si>
  <si>
    <t>X3</t>
  </si>
  <si>
    <t>sensitivity at the money call = N(d1) = 0.65</t>
  </si>
  <si>
    <t>10 * exp(rT) = 12</t>
  </si>
  <si>
    <t>S0[N(d1)  - exp(-rT)*N(d2)]</t>
  </si>
  <si>
    <t xml:space="preserve">                         Since exp(-rT) = 10/12, we can see that exp(-r * 2T) = exp(-2rT)=[exp(-rT)]^2 = 100/144</t>
  </si>
  <si>
    <t>prob(at the money spot put exercise) = N(-d2) = 0.3</t>
  </si>
  <si>
    <t xml:space="preserve">Using the Black-Scholes equations, and assuming that the current Apple share price is $255, </t>
  </si>
  <si>
    <t>Option (van trunc)</t>
  </si>
  <si>
    <t>Discount Factor</t>
  </si>
  <si>
    <t>d2 (80)</t>
  </si>
  <si>
    <t>d2 (120)</t>
  </si>
  <si>
    <t>Prob (ST&gt;80)</t>
  </si>
  <si>
    <t>Prob (ST&gt;120)</t>
  </si>
  <si>
    <t>Prob (80 &lt; ST &lt; 120), prob of exercise</t>
  </si>
  <si>
    <t>Total value</t>
  </si>
  <si>
    <t>Put Strike</t>
  </si>
  <si>
    <t>Call Strike</t>
  </si>
  <si>
    <t>Choice Time</t>
  </si>
  <si>
    <t>Option Life After Choice</t>
  </si>
  <si>
    <t>Stock Price</t>
  </si>
  <si>
    <t>Risk Free</t>
  </si>
  <si>
    <t>Volatility</t>
  </si>
  <si>
    <t>Option Life</t>
  </si>
  <si>
    <t>Strike (call)</t>
  </si>
  <si>
    <t>Strike (put)</t>
  </si>
  <si>
    <t>Call</t>
  </si>
  <si>
    <t>premium</t>
  </si>
  <si>
    <t>put</t>
  </si>
  <si>
    <t>Date</t>
  </si>
  <si>
    <t>Zero Rates</t>
  </si>
  <si>
    <t>ti</t>
  </si>
  <si>
    <t>Dfi</t>
  </si>
  <si>
    <t>Fi</t>
  </si>
  <si>
    <t>Fi * ti * Dfi</t>
  </si>
  <si>
    <t>ti * Dfi</t>
  </si>
  <si>
    <t>Swap Rate</t>
  </si>
  <si>
    <t>b)</t>
  </si>
  <si>
    <t>Notional (millions)</t>
  </si>
  <si>
    <t>Fi * ti * Dfi*Ni</t>
  </si>
  <si>
    <t>ti * Dfi * Ni</t>
  </si>
  <si>
    <t>Swap rate</t>
  </si>
  <si>
    <t>c)</t>
  </si>
  <si>
    <t>PV(net rate)</t>
  </si>
  <si>
    <t>Old swap rate</t>
  </si>
  <si>
    <t>new swap rate</t>
  </si>
  <si>
    <t>M2M</t>
  </si>
  <si>
    <t>d)</t>
  </si>
  <si>
    <t>PV(diff)</t>
  </si>
  <si>
    <t>old swap rate</t>
  </si>
  <si>
    <t>&lt;&lt;M1</t>
  </si>
  <si>
    <t>&lt;&lt;M2</t>
  </si>
  <si>
    <t>Cum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</si>
</sst>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* #,##0.00_-;\-&quot;$&quot;* #,##0.00_-;_-&quot;$&quot;* &quot;-&quot;??_-;_-@_-"/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0000"/>
    <numFmt numFmtId="168" formatCode="0.00000%"/>
    <numFmt numFmtId="169" formatCode="0.000"/>
    <numFmt numFmtId="170" formatCode="0.000%"/>
    <numFmt numFmtId="171" formatCode="dd\-mmm\-yy"/>
    <numFmt numFmtId="172" formatCode="0.00000000"/>
    <numFmt numFmtId="173" formatCode="0.0000%"/>
    <numFmt numFmtId="174" formatCode="_-&quot;$&quot;* #,##0.000_-;\-&quot;$&quot;* #,##0.000_-;_-&quot;$&quot;* &quot;-&quot;??_-;_-@_-"/>
    <numFmt numFmtId="175" formatCode="_-&quot;$&quot;* #,##0.000_-;\-&quot;$&quot;* #,##0.000_-;_-&quot;$&quot;* &quot;-&quot;???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indexed="9"/>
      <name val="Calibri"/>
      <family val="2"/>
    </font>
    <font>
      <sz val="11"/>
      <color indexed="9"/>
      <name val="Calibri"/>
      <family val="2"/>
    </font>
    <font>
      <sz val="14"/>
      <name val="Calibri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sz val="10"/>
      <name val="Symbol"/>
      <family val="1"/>
      <charset val="2"/>
    </font>
    <font>
      <sz val="10"/>
      <color indexed="10"/>
      <name val="Arial"/>
      <family val="2"/>
    </font>
    <font>
      <sz val="14"/>
      <color rgb="FFFFFFFF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4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08">
    <xf numFmtId="0" fontId="0" fillId="0" borderId="0" xfId="0"/>
    <xf numFmtId="164" fontId="3" fillId="2" borderId="0" xfId="0" applyNumberFormat="1" applyFont="1" applyFill="1"/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0" fontId="3" fillId="2" borderId="1" xfId="0" applyFont="1" applyFill="1" applyBorder="1"/>
    <xf numFmtId="0" fontId="3" fillId="2" borderId="2" xfId="0" applyFont="1" applyFill="1" applyBorder="1"/>
    <xf numFmtId="0" fontId="5" fillId="3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5" fontId="5" fillId="3" borderId="3" xfId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9" fontId="5" fillId="4" borderId="3" xfId="2" applyFont="1" applyFill="1" applyBorder="1" applyAlignment="1">
      <alignment horizontal="center"/>
    </xf>
    <xf numFmtId="0" fontId="3" fillId="2" borderId="0" xfId="7" applyFont="1" applyFill="1"/>
    <xf numFmtId="165" fontId="3" fillId="2" borderId="0" xfId="7" applyNumberFormat="1" applyFont="1" applyFill="1"/>
    <xf numFmtId="165" fontId="3" fillId="2" borderId="0" xfId="1" applyFont="1" applyFill="1"/>
    <xf numFmtId="44" fontId="3" fillId="5" borderId="0" xfId="7" applyNumberFormat="1" applyFont="1" applyFill="1"/>
    <xf numFmtId="0" fontId="2" fillId="6" borderId="4" xfId="6" applyFill="1" applyBorder="1" applyAlignment="1">
      <alignment horizontal="center" vertical="center"/>
    </xf>
    <xf numFmtId="0" fontId="2" fillId="6" borderId="0" xfId="6" applyFill="1"/>
    <xf numFmtId="0" fontId="2" fillId="6" borderId="6" xfId="6" applyFill="1" applyBorder="1"/>
    <xf numFmtId="0" fontId="2" fillId="6" borderId="7" xfId="6" applyFill="1" applyBorder="1" applyAlignment="1">
      <alignment horizontal="center" vertical="center"/>
    </xf>
    <xf numFmtId="0" fontId="2" fillId="6" borderId="9" xfId="6" applyFill="1" applyBorder="1" applyAlignment="1">
      <alignment horizontal="center"/>
    </xf>
    <xf numFmtId="0" fontId="2" fillId="6" borderId="6" xfId="6" applyFill="1" applyBorder="1" applyAlignment="1">
      <alignment horizontal="center"/>
    </xf>
    <xf numFmtId="0" fontId="2" fillId="6" borderId="4" xfId="6" applyFill="1" applyBorder="1"/>
    <xf numFmtId="0" fontId="2" fillId="6" borderId="5" xfId="6" applyFill="1" applyBorder="1" applyAlignment="1">
      <alignment horizontal="center"/>
    </xf>
    <xf numFmtId="0" fontId="2" fillId="6" borderId="11" xfId="6" applyFill="1" applyBorder="1" applyAlignment="1">
      <alignment horizontal="center" vertical="center"/>
    </xf>
    <xf numFmtId="0" fontId="2" fillId="6" borderId="0" xfId="6" applyFill="1" applyAlignment="1">
      <alignment horizontal="center"/>
    </xf>
    <xf numFmtId="0" fontId="2" fillId="6" borderId="4" xfId="6" applyFill="1" applyBorder="1" applyAlignment="1">
      <alignment horizontal="center"/>
    </xf>
    <xf numFmtId="0" fontId="6" fillId="6" borderId="9" xfId="6" applyFont="1" applyFill="1" applyBorder="1" applyAlignment="1">
      <alignment horizontal="center"/>
    </xf>
    <xf numFmtId="0" fontId="2" fillId="6" borderId="12" xfId="6" applyFill="1" applyBorder="1" applyAlignment="1">
      <alignment horizontal="center"/>
    </xf>
    <xf numFmtId="0" fontId="2" fillId="6" borderId="11" xfId="6" applyFill="1" applyBorder="1" applyAlignment="1">
      <alignment horizontal="center"/>
    </xf>
    <xf numFmtId="0" fontId="2" fillId="6" borderId="13" xfId="6" applyFill="1" applyBorder="1" applyAlignment="1">
      <alignment horizontal="center"/>
    </xf>
    <xf numFmtId="0" fontId="6" fillId="6" borderId="13" xfId="6" applyFont="1" applyFill="1" applyBorder="1" applyAlignment="1">
      <alignment horizontal="center"/>
    </xf>
    <xf numFmtId="0" fontId="2" fillId="6" borderId="17" xfId="6" applyFill="1" applyBorder="1" applyAlignment="1">
      <alignment horizontal="center"/>
    </xf>
    <xf numFmtId="0" fontId="2" fillId="6" borderId="16" xfId="6" applyFill="1" applyBorder="1" applyAlignment="1">
      <alignment horizontal="center"/>
    </xf>
    <xf numFmtId="0" fontId="2" fillId="6" borderId="11" xfId="6" applyFill="1" applyBorder="1"/>
    <xf numFmtId="0" fontId="2" fillId="7" borderId="6" xfId="6" applyFill="1" applyBorder="1" applyAlignment="1">
      <alignment horizontal="center"/>
    </xf>
    <xf numFmtId="165" fontId="0" fillId="7" borderId="6" xfId="1" applyFont="1" applyFill="1" applyBorder="1"/>
    <xf numFmtId="0" fontId="7" fillId="6" borderId="0" xfId="10" applyFill="1"/>
    <xf numFmtId="0" fontId="2" fillId="6" borderId="7" xfId="6" applyFill="1" applyBorder="1" applyAlignment="1">
      <alignment horizontal="center"/>
    </xf>
    <xf numFmtId="0" fontId="6" fillId="6" borderId="17" xfId="6" applyFont="1" applyFill="1" applyBorder="1" applyAlignment="1">
      <alignment horizontal="center"/>
    </xf>
    <xf numFmtId="0" fontId="2" fillId="4" borderId="0" xfId="6" applyFill="1" applyAlignment="1">
      <alignment horizontal="center"/>
    </xf>
    <xf numFmtId="0" fontId="2" fillId="8" borderId="0" xfId="6" applyFill="1" applyAlignment="1">
      <alignment horizontal="center"/>
    </xf>
    <xf numFmtId="44" fontId="2" fillId="6" borderId="6" xfId="6" applyNumberFormat="1" applyFill="1" applyBorder="1"/>
    <xf numFmtId="165" fontId="2" fillId="6" borderId="7" xfId="1" applyFill="1" applyBorder="1" applyAlignment="1">
      <alignment horizontal="center"/>
    </xf>
    <xf numFmtId="0" fontId="2" fillId="6" borderId="14" xfId="6" applyFill="1" applyBorder="1"/>
    <xf numFmtId="0" fontId="2" fillId="6" borderId="8" xfId="6" applyFill="1" applyBorder="1"/>
    <xf numFmtId="44" fontId="8" fillId="6" borderId="6" xfId="6" applyNumberFormat="1" applyFont="1" applyFill="1" applyBorder="1"/>
    <xf numFmtId="0" fontId="0" fillId="6" borderId="0" xfId="0" applyFill="1"/>
    <xf numFmtId="165" fontId="2" fillId="4" borderId="0" xfId="6" applyNumberFormat="1" applyFill="1" applyAlignment="1">
      <alignment horizontal="center"/>
    </xf>
    <xf numFmtId="0" fontId="2" fillId="6" borderId="0" xfId="0" applyFont="1" applyFill="1"/>
    <xf numFmtId="0" fontId="9" fillId="6" borderId="0" xfId="0" applyFont="1" applyFill="1"/>
    <xf numFmtId="0" fontId="2" fillId="6" borderId="0" xfId="0" quotePrefix="1" applyFont="1" applyFill="1"/>
    <xf numFmtId="0" fontId="6" fillId="7" borderId="0" xfId="0" applyFont="1" applyFill="1"/>
    <xf numFmtId="44" fontId="2" fillId="6" borderId="0" xfId="6" applyNumberFormat="1" applyFill="1"/>
    <xf numFmtId="0" fontId="2" fillId="10" borderId="4" xfId="6" applyFill="1" applyBorder="1" applyAlignment="1">
      <alignment horizontal="center"/>
    </xf>
    <xf numFmtId="44" fontId="0" fillId="10" borderId="9" xfId="11" applyFont="1" applyFill="1" applyBorder="1" applyAlignment="1">
      <alignment horizontal="center"/>
    </xf>
    <xf numFmtId="0" fontId="2" fillId="10" borderId="0" xfId="6" applyFill="1"/>
    <xf numFmtId="0" fontId="2" fillId="10" borderId="11" xfId="6" applyFill="1" applyBorder="1" applyAlignment="1">
      <alignment horizontal="center"/>
    </xf>
    <xf numFmtId="44" fontId="0" fillId="10" borderId="13" xfId="11" applyFont="1" applyFill="1" applyBorder="1" applyAlignment="1">
      <alignment horizontal="center"/>
    </xf>
    <xf numFmtId="10" fontId="2" fillId="10" borderId="13" xfId="2" applyNumberFormat="1" applyFill="1" applyBorder="1" applyAlignment="1">
      <alignment horizontal="center"/>
    </xf>
    <xf numFmtId="0" fontId="2" fillId="10" borderId="16" xfId="6" applyFill="1" applyBorder="1" applyAlignment="1">
      <alignment horizontal="center"/>
    </xf>
    <xf numFmtId="0" fontId="2" fillId="10" borderId="6" xfId="6" applyFill="1" applyBorder="1"/>
    <xf numFmtId="167" fontId="2" fillId="8" borderId="6" xfId="6" applyNumberFormat="1" applyFill="1" applyBorder="1"/>
    <xf numFmtId="0" fontId="2" fillId="10" borderId="0" xfId="6" applyFill="1" applyAlignment="1">
      <alignment vertical="center"/>
    </xf>
    <xf numFmtId="168" fontId="0" fillId="6" borderId="0" xfId="2" applyNumberFormat="1" applyFont="1" applyFill="1" applyBorder="1"/>
    <xf numFmtId="0" fontId="2" fillId="10" borderId="13" xfId="6" applyFill="1" applyBorder="1" applyAlignment="1">
      <alignment horizontal="center"/>
    </xf>
    <xf numFmtId="0" fontId="2" fillId="10" borderId="7" xfId="6" applyFill="1" applyBorder="1" applyAlignment="1">
      <alignment horizontal="center"/>
    </xf>
    <xf numFmtId="0" fontId="2" fillId="10" borderId="17" xfId="6" applyFill="1" applyBorder="1" applyAlignment="1">
      <alignment horizontal="center"/>
    </xf>
    <xf numFmtId="0" fontId="2" fillId="10" borderId="0" xfId="6" applyFill="1" applyAlignment="1">
      <alignment horizontal="center"/>
    </xf>
    <xf numFmtId="0" fontId="10" fillId="10" borderId="14" xfId="6" applyFont="1" applyFill="1" applyBorder="1" applyAlignment="1">
      <alignment horizontal="center"/>
    </xf>
    <xf numFmtId="0" fontId="10" fillId="10" borderId="15" xfId="6" applyFont="1" applyFill="1" applyBorder="1" applyAlignment="1">
      <alignment horizontal="center"/>
    </xf>
    <xf numFmtId="0" fontId="10" fillId="10" borderId="0" xfId="6" applyFont="1" applyFill="1" applyAlignment="1">
      <alignment horizontal="center"/>
    </xf>
    <xf numFmtId="169" fontId="2" fillId="10" borderId="0" xfId="6" applyNumberFormat="1" applyFill="1"/>
    <xf numFmtId="0" fontId="2" fillId="10" borderId="12" xfId="6" applyFill="1" applyBorder="1"/>
    <xf numFmtId="0" fontId="2" fillId="10" borderId="18" xfId="6" applyFill="1" applyBorder="1"/>
    <xf numFmtId="169" fontId="2" fillId="10" borderId="18" xfId="6" applyNumberFormat="1" applyFill="1" applyBorder="1"/>
    <xf numFmtId="169" fontId="2" fillId="10" borderId="12" xfId="6" applyNumberFormat="1" applyFill="1" applyBorder="1"/>
    <xf numFmtId="0" fontId="2" fillId="6" borderId="6" xfId="0" applyFont="1" applyFill="1" applyBorder="1" applyAlignment="1">
      <alignment horizontal="center"/>
    </xf>
    <xf numFmtId="44" fontId="2" fillId="6" borderId="4" xfId="6" applyNumberFormat="1" applyFill="1" applyBorder="1"/>
    <xf numFmtId="0" fontId="2" fillId="6" borderId="0" xfId="3" applyFill="1"/>
    <xf numFmtId="44" fontId="2" fillId="6" borderId="11" xfId="6" applyNumberFormat="1" applyFill="1" applyBorder="1"/>
    <xf numFmtId="44" fontId="2" fillId="6" borderId="16" xfId="6" applyNumberFormat="1" applyFill="1" applyBorder="1"/>
    <xf numFmtId="0" fontId="2" fillId="10" borderId="5" xfId="6" applyFill="1" applyBorder="1" applyAlignment="1">
      <alignment horizontal="center"/>
    </xf>
    <xf numFmtId="0" fontId="2" fillId="10" borderId="12" xfId="6" applyFill="1" applyBorder="1" applyAlignment="1">
      <alignment horizontal="center"/>
    </xf>
    <xf numFmtId="0" fontId="2" fillId="10" borderId="8" xfId="6" applyFill="1" applyBorder="1" applyAlignment="1">
      <alignment horizontal="center"/>
    </xf>
    <xf numFmtId="44" fontId="0" fillId="10" borderId="4" xfId="11" applyFont="1" applyFill="1" applyBorder="1" applyAlignment="1">
      <alignment horizontal="center"/>
    </xf>
    <xf numFmtId="44" fontId="0" fillId="10" borderId="11" xfId="11" applyFont="1" applyFill="1" applyBorder="1" applyAlignment="1">
      <alignment horizontal="center"/>
    </xf>
    <xf numFmtId="10" fontId="2" fillId="10" borderId="11" xfId="2" applyNumberFormat="1" applyFill="1" applyBorder="1" applyAlignment="1">
      <alignment horizontal="center"/>
    </xf>
    <xf numFmtId="0" fontId="2" fillId="10" borderId="6" xfId="6" applyFill="1" applyBorder="1" applyAlignment="1">
      <alignment horizontal="center"/>
    </xf>
    <xf numFmtId="0" fontId="2" fillId="10" borderId="13" xfId="6" applyFill="1" applyBorder="1"/>
    <xf numFmtId="0" fontId="2" fillId="10" borderId="9" xfId="6" applyFill="1" applyBorder="1"/>
    <xf numFmtId="0" fontId="2" fillId="10" borderId="17" xfId="6" applyFill="1" applyBorder="1"/>
    <xf numFmtId="10" fontId="2" fillId="10" borderId="9" xfId="6" applyNumberFormat="1" applyFill="1" applyBorder="1"/>
    <xf numFmtId="10" fontId="2" fillId="10" borderId="13" xfId="6" applyNumberFormat="1" applyFill="1" applyBorder="1"/>
    <xf numFmtId="10" fontId="2" fillId="10" borderId="17" xfId="6" applyNumberFormat="1" applyFill="1" applyBorder="1"/>
    <xf numFmtId="165" fontId="2" fillId="10" borderId="9" xfId="1" applyFill="1" applyBorder="1"/>
    <xf numFmtId="165" fontId="2" fillId="10" borderId="13" xfId="1" applyFill="1" applyBorder="1"/>
    <xf numFmtId="165" fontId="2" fillId="10" borderId="17" xfId="1" applyFill="1" applyBorder="1"/>
    <xf numFmtId="165" fontId="2" fillId="10" borderId="4" xfId="1" applyFill="1" applyBorder="1"/>
    <xf numFmtId="0" fontId="2" fillId="10" borderId="11" xfId="6" applyFill="1" applyBorder="1"/>
    <xf numFmtId="165" fontId="2" fillId="10" borderId="11" xfId="1" applyFill="1" applyBorder="1"/>
    <xf numFmtId="165" fontId="2" fillId="10" borderId="7" xfId="1" applyFill="1" applyBorder="1"/>
    <xf numFmtId="44" fontId="2" fillId="11" borderId="9" xfId="6" applyNumberFormat="1" applyFill="1" applyBorder="1"/>
    <xf numFmtId="0" fontId="2" fillId="11" borderId="13" xfId="6" applyFill="1" applyBorder="1"/>
    <xf numFmtId="44" fontId="2" fillId="11" borderId="13" xfId="6" applyNumberFormat="1" applyFill="1" applyBorder="1"/>
    <xf numFmtId="44" fontId="2" fillId="11" borderId="17" xfId="6" applyNumberFormat="1" applyFill="1" applyBorder="1"/>
    <xf numFmtId="44" fontId="2" fillId="12" borderId="9" xfId="6" applyNumberFormat="1" applyFill="1" applyBorder="1"/>
    <xf numFmtId="0" fontId="2" fillId="12" borderId="13" xfId="6" applyFill="1" applyBorder="1"/>
    <xf numFmtId="44" fontId="2" fillId="12" borderId="13" xfId="6" applyNumberFormat="1" applyFill="1" applyBorder="1"/>
    <xf numFmtId="44" fontId="2" fillId="12" borderId="17" xfId="6" applyNumberFormat="1" applyFill="1" applyBorder="1"/>
    <xf numFmtId="164" fontId="5" fillId="13" borderId="0" xfId="12" applyNumberFormat="1" applyFont="1" applyFill="1"/>
    <xf numFmtId="0" fontId="11" fillId="13" borderId="0" xfId="12" applyFont="1" applyFill="1"/>
    <xf numFmtId="0" fontId="12" fillId="13" borderId="0" xfId="12" applyFont="1" applyFill="1"/>
    <xf numFmtId="0" fontId="13" fillId="13" borderId="0" xfId="12" applyFont="1" applyFill="1"/>
    <xf numFmtId="0" fontId="14" fillId="13" borderId="0" xfId="12" applyFont="1" applyFill="1"/>
    <xf numFmtId="0" fontId="14" fillId="13" borderId="4" xfId="12" applyFont="1" applyFill="1" applyBorder="1" applyAlignment="1">
      <alignment horizontal="center"/>
    </xf>
    <xf numFmtId="0" fontId="14" fillId="13" borderId="6" xfId="12" applyFont="1" applyFill="1" applyBorder="1" applyAlignment="1">
      <alignment horizontal="center"/>
    </xf>
    <xf numFmtId="0" fontId="5" fillId="13" borderId="6" xfId="12" applyFont="1" applyFill="1" applyBorder="1" applyAlignment="1">
      <alignment horizontal="center"/>
    </xf>
    <xf numFmtId="0" fontId="14" fillId="13" borderId="6" xfId="12" applyFont="1" applyFill="1" applyBorder="1"/>
    <xf numFmtId="170" fontId="14" fillId="13" borderId="6" xfId="13" applyNumberFormat="1" applyFont="1" applyFill="1" applyBorder="1" applyAlignment="1">
      <alignment horizontal="center"/>
    </xf>
    <xf numFmtId="171" fontId="14" fillId="13" borderId="4" xfId="12" applyNumberFormat="1" applyFont="1" applyFill="1" applyBorder="1" applyAlignment="1">
      <alignment horizontal="center"/>
    </xf>
    <xf numFmtId="10" fontId="14" fillId="13" borderId="4" xfId="13" applyNumberFormat="1" applyFont="1" applyFill="1" applyBorder="1" applyAlignment="1">
      <alignment horizontal="center"/>
    </xf>
    <xf numFmtId="0" fontId="5" fillId="13" borderId="0" xfId="12" applyFont="1" applyFill="1"/>
    <xf numFmtId="171" fontId="14" fillId="13" borderId="11" xfId="12" applyNumberFormat="1" applyFont="1" applyFill="1" applyBorder="1" applyAlignment="1">
      <alignment horizontal="center"/>
    </xf>
    <xf numFmtId="10" fontId="14" fillId="13" borderId="11" xfId="13" applyNumberFormat="1" applyFont="1" applyFill="1" applyBorder="1" applyAlignment="1">
      <alignment horizontal="center"/>
    </xf>
    <xf numFmtId="0" fontId="14" fillId="13" borderId="11" xfId="12" applyFont="1" applyFill="1" applyBorder="1" applyAlignment="1">
      <alignment horizontal="center"/>
    </xf>
    <xf numFmtId="10" fontId="2" fillId="13" borderId="11" xfId="13" applyNumberFormat="1" applyFont="1" applyFill="1" applyBorder="1" applyAlignment="1">
      <alignment horizontal="center"/>
    </xf>
    <xf numFmtId="171" fontId="14" fillId="13" borderId="7" xfId="12" applyNumberFormat="1" applyFont="1" applyFill="1" applyBorder="1" applyAlignment="1">
      <alignment horizontal="center"/>
    </xf>
    <xf numFmtId="10" fontId="14" fillId="13" borderId="7" xfId="13" applyNumberFormat="1" applyFont="1" applyFill="1" applyBorder="1" applyAlignment="1">
      <alignment horizontal="center"/>
    </xf>
    <xf numFmtId="0" fontId="14" fillId="13" borderId="7" xfId="12" applyFont="1" applyFill="1" applyBorder="1" applyAlignment="1">
      <alignment horizontal="center"/>
    </xf>
    <xf numFmtId="171" fontId="14" fillId="13" borderId="0" xfId="12" applyNumberFormat="1" applyFont="1" applyFill="1" applyAlignment="1">
      <alignment horizontal="center"/>
    </xf>
    <xf numFmtId="10" fontId="14" fillId="13" borderId="0" xfId="13" applyNumberFormat="1" applyFont="1" applyFill="1" applyBorder="1" applyAlignment="1">
      <alignment horizontal="center"/>
    </xf>
    <xf numFmtId="0" fontId="14" fillId="13" borderId="0" xfId="12" applyFont="1" applyFill="1" applyAlignment="1">
      <alignment horizontal="center"/>
    </xf>
    <xf numFmtId="0" fontId="15" fillId="13" borderId="4" xfId="12" applyFont="1" applyFill="1" applyBorder="1" applyAlignment="1">
      <alignment horizontal="center"/>
    </xf>
    <xf numFmtId="0" fontId="5" fillId="13" borderId="4" xfId="12" applyFont="1" applyFill="1" applyBorder="1"/>
    <xf numFmtId="0" fontId="12" fillId="13" borderId="4" xfId="12" applyFont="1" applyFill="1" applyBorder="1"/>
    <xf numFmtId="0" fontId="12" fillId="13" borderId="9" xfId="12" applyFont="1" applyFill="1" applyBorder="1"/>
    <xf numFmtId="170" fontId="14" fillId="13" borderId="6" xfId="13" applyNumberFormat="1" applyFont="1" applyFill="1" applyBorder="1"/>
    <xf numFmtId="0" fontId="15" fillId="13" borderId="11" xfId="12" applyFont="1" applyFill="1" applyBorder="1" applyAlignment="1">
      <alignment horizontal="center"/>
    </xf>
    <xf numFmtId="0" fontId="5" fillId="13" borderId="11" xfId="12" applyFont="1" applyFill="1" applyBorder="1"/>
    <xf numFmtId="0" fontId="14" fillId="13" borderId="11" xfId="12" applyFont="1" applyFill="1" applyBorder="1"/>
    <xf numFmtId="0" fontId="14" fillId="13" borderId="13" xfId="12" applyFont="1" applyFill="1" applyBorder="1"/>
    <xf numFmtId="0" fontId="5" fillId="13" borderId="7" xfId="12" applyFont="1" applyFill="1" applyBorder="1" applyAlignment="1">
      <alignment horizontal="center"/>
    </xf>
    <xf numFmtId="172" fontId="14" fillId="13" borderId="7" xfId="12" applyNumberFormat="1" applyFont="1" applyFill="1" applyBorder="1" applyAlignment="1">
      <alignment horizontal="center"/>
    </xf>
    <xf numFmtId="0" fontId="5" fillId="13" borderId="7" xfId="12" applyFont="1" applyFill="1" applyBorder="1"/>
    <xf numFmtId="0" fontId="14" fillId="13" borderId="7" xfId="12" applyFont="1" applyFill="1" applyBorder="1"/>
    <xf numFmtId="0" fontId="14" fillId="13" borderId="17" xfId="12" applyFont="1" applyFill="1" applyBorder="1"/>
    <xf numFmtId="0" fontId="5" fillId="13" borderId="0" xfId="12" applyFont="1" applyFill="1" applyAlignment="1">
      <alignment horizontal="center"/>
    </xf>
    <xf numFmtId="0" fontId="14" fillId="13" borderId="5" xfId="12" applyFont="1" applyFill="1" applyBorder="1" applyAlignment="1">
      <alignment horizontal="center"/>
    </xf>
    <xf numFmtId="171" fontId="14" fillId="13" borderId="5" xfId="12" applyNumberFormat="1" applyFont="1" applyFill="1" applyBorder="1" applyAlignment="1">
      <alignment horizontal="center"/>
    </xf>
    <xf numFmtId="0" fontId="5" fillId="13" borderId="9" xfId="12" applyFont="1" applyFill="1" applyBorder="1"/>
    <xf numFmtId="0" fontId="14" fillId="13" borderId="4" xfId="12" applyFont="1" applyFill="1" applyBorder="1"/>
    <xf numFmtId="0" fontId="5" fillId="13" borderId="13" xfId="12" applyFont="1" applyFill="1" applyBorder="1"/>
    <xf numFmtId="0" fontId="5" fillId="13" borderId="17" xfId="12" applyFont="1" applyFill="1" applyBorder="1"/>
    <xf numFmtId="0" fontId="12" fillId="13" borderId="11" xfId="12" applyFont="1" applyFill="1" applyBorder="1"/>
    <xf numFmtId="170" fontId="14" fillId="13" borderId="6" xfId="12" applyNumberFormat="1" applyFont="1" applyFill="1" applyBorder="1"/>
    <xf numFmtId="165" fontId="14" fillId="13" borderId="6" xfId="14" applyFont="1" applyFill="1" applyBorder="1"/>
    <xf numFmtId="0" fontId="5" fillId="14" borderId="13" xfId="12" applyFont="1" applyFill="1" applyBorder="1"/>
    <xf numFmtId="173" fontId="14" fillId="13" borderId="6" xfId="13" applyNumberFormat="1" applyFont="1" applyFill="1" applyBorder="1"/>
    <xf numFmtId="165" fontId="13" fillId="13" borderId="6" xfId="14" applyFont="1" applyFill="1" applyBorder="1"/>
    <xf numFmtId="0" fontId="18" fillId="4" borderId="3" xfId="0" applyFont="1" applyFill="1" applyBorder="1" applyAlignment="1">
      <alignment horizontal="center"/>
    </xf>
    <xf numFmtId="9" fontId="18" fillId="4" borderId="3" xfId="2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174" fontId="2" fillId="6" borderId="7" xfId="6" applyNumberFormat="1" applyFill="1" applyBorder="1"/>
    <xf numFmtId="174" fontId="2" fillId="6" borderId="11" xfId="6" applyNumberFormat="1" applyFill="1" applyBorder="1"/>
    <xf numFmtId="0" fontId="2" fillId="6" borderId="4" xfId="6" applyFill="1" applyBorder="1" applyAlignment="1">
      <alignment horizontal="center" vertical="center"/>
    </xf>
    <xf numFmtId="0" fontId="2" fillId="6" borderId="7" xfId="6" applyFill="1" applyBorder="1" applyAlignment="1">
      <alignment horizontal="center" vertical="center"/>
    </xf>
    <xf numFmtId="0" fontId="2" fillId="6" borderId="5" xfId="6" applyFill="1" applyBorder="1" applyAlignment="1">
      <alignment horizontal="center" vertical="center"/>
    </xf>
    <xf numFmtId="0" fontId="2" fillId="6" borderId="8" xfId="6" applyFill="1" applyBorder="1" applyAlignment="1">
      <alignment horizontal="center" vertical="center"/>
    </xf>
    <xf numFmtId="0" fontId="2" fillId="6" borderId="5" xfId="6" applyFill="1" applyBorder="1" applyAlignment="1">
      <alignment horizontal="center"/>
    </xf>
    <xf numFmtId="0" fontId="2" fillId="6" borderId="10" xfId="6" applyFill="1" applyBorder="1" applyAlignment="1">
      <alignment horizontal="center"/>
    </xf>
    <xf numFmtId="0" fontId="2" fillId="6" borderId="9" xfId="6" applyFill="1" applyBorder="1" applyAlignment="1">
      <alignment horizontal="center"/>
    </xf>
    <xf numFmtId="9" fontId="2" fillId="6" borderId="14" xfId="6" applyNumberFormat="1" applyFill="1" applyBorder="1" applyAlignment="1">
      <alignment horizontal="center"/>
    </xf>
    <xf numFmtId="9" fontId="2" fillId="6" borderId="15" xfId="6" applyNumberFormat="1" applyFill="1" applyBorder="1" applyAlignment="1">
      <alignment horizontal="center"/>
    </xf>
    <xf numFmtId="9" fontId="2" fillId="6" borderId="16" xfId="6" applyNumberFormat="1" applyFill="1" applyBorder="1" applyAlignment="1">
      <alignment horizontal="center"/>
    </xf>
    <xf numFmtId="0" fontId="2" fillId="6" borderId="14" xfId="6" applyFill="1" applyBorder="1" applyAlignment="1">
      <alignment horizontal="center"/>
    </xf>
    <xf numFmtId="0" fontId="2" fillId="6" borderId="15" xfId="6" applyFill="1" applyBorder="1" applyAlignment="1">
      <alignment horizontal="center"/>
    </xf>
    <xf numFmtId="0" fontId="2" fillId="6" borderId="16" xfId="6" applyFill="1" applyBorder="1" applyAlignment="1">
      <alignment horizontal="center"/>
    </xf>
    <xf numFmtId="0" fontId="2" fillId="6" borderId="6" xfId="6" applyFill="1" applyBorder="1" applyAlignment="1">
      <alignment horizontal="center" vertical="center"/>
    </xf>
    <xf numFmtId="0" fontId="2" fillId="9" borderId="1" xfId="6" applyFill="1" applyBorder="1" applyAlignment="1">
      <alignment horizontal="center"/>
    </xf>
    <xf numFmtId="0" fontId="2" fillId="9" borderId="3" xfId="6" applyFill="1" applyBorder="1" applyAlignment="1">
      <alignment horizontal="center"/>
    </xf>
    <xf numFmtId="0" fontId="2" fillId="9" borderId="8" xfId="6" applyFill="1" applyBorder="1" applyAlignment="1">
      <alignment horizontal="center" vertical="center"/>
    </xf>
    <xf numFmtId="0" fontId="2" fillId="9" borderId="17" xfId="6" applyFill="1" applyBorder="1" applyAlignment="1">
      <alignment horizontal="center" vertical="center"/>
    </xf>
    <xf numFmtId="0" fontId="2" fillId="6" borderId="4" xfId="6" applyFill="1" applyBorder="1" applyAlignment="1">
      <alignment horizontal="center" vertical="center" wrapText="1"/>
    </xf>
    <xf numFmtId="0" fontId="2" fillId="6" borderId="11" xfId="6" applyFill="1" applyBorder="1" applyAlignment="1">
      <alignment horizontal="center" vertical="center" wrapText="1"/>
    </xf>
    <xf numFmtId="0" fontId="2" fillId="6" borderId="7" xfId="6" applyFill="1" applyBorder="1" applyAlignment="1">
      <alignment horizontal="center" vertical="center" wrapText="1"/>
    </xf>
    <xf numFmtId="0" fontId="2" fillId="6" borderId="11" xfId="6" applyFill="1" applyBorder="1" applyAlignment="1">
      <alignment horizontal="center" vertical="center"/>
    </xf>
    <xf numFmtId="0" fontId="2" fillId="6" borderId="9" xfId="6" applyFill="1" applyBorder="1" applyAlignment="1">
      <alignment horizontal="center" vertical="center"/>
    </xf>
    <xf numFmtId="0" fontId="2" fillId="6" borderId="13" xfId="6" applyFill="1" applyBorder="1" applyAlignment="1">
      <alignment horizontal="center" vertical="center"/>
    </xf>
    <xf numFmtId="0" fontId="2" fillId="6" borderId="6" xfId="6" applyFill="1" applyBorder="1" applyAlignment="1">
      <alignment horizontal="center"/>
    </xf>
    <xf numFmtId="0" fontId="2" fillId="10" borderId="4" xfId="6" applyFill="1" applyBorder="1" applyAlignment="1">
      <alignment horizontal="center" vertical="center"/>
    </xf>
    <xf numFmtId="0" fontId="2" fillId="10" borderId="11" xfId="6" applyFill="1" applyBorder="1" applyAlignment="1">
      <alignment horizontal="center" vertical="center"/>
    </xf>
    <xf numFmtId="0" fontId="2" fillId="10" borderId="7" xfId="6" applyFill="1" applyBorder="1" applyAlignment="1">
      <alignment horizontal="center" vertical="center"/>
    </xf>
    <xf numFmtId="0" fontId="2" fillId="6" borderId="8" xfId="6" applyFill="1" applyBorder="1" applyAlignment="1">
      <alignment horizontal="center"/>
    </xf>
    <xf numFmtId="0" fontId="2" fillId="6" borderId="18" xfId="6" applyFill="1" applyBorder="1" applyAlignment="1">
      <alignment horizontal="center"/>
    </xf>
    <xf numFmtId="0" fontId="2" fillId="6" borderId="17" xfId="6" applyFill="1" applyBorder="1" applyAlignment="1">
      <alignment horizontal="center"/>
    </xf>
    <xf numFmtId="0" fontId="2" fillId="6" borderId="12" xfId="6" applyFill="1" applyBorder="1" applyAlignment="1">
      <alignment horizontal="center"/>
    </xf>
    <xf numFmtId="0" fontId="2" fillId="6" borderId="0" xfId="6" applyFill="1" applyAlignment="1">
      <alignment horizontal="center"/>
    </xf>
    <xf numFmtId="0" fontId="2" fillId="6" borderId="13" xfId="6" applyFill="1" applyBorder="1" applyAlignment="1">
      <alignment horizontal="center"/>
    </xf>
    <xf numFmtId="0" fontId="2" fillId="10" borderId="5" xfId="6" applyFill="1" applyBorder="1" applyAlignment="1">
      <alignment horizontal="center"/>
    </xf>
    <xf numFmtId="0" fontId="2" fillId="10" borderId="10" xfId="6" applyFill="1" applyBorder="1" applyAlignment="1">
      <alignment horizontal="center"/>
    </xf>
    <xf numFmtId="0" fontId="2" fillId="10" borderId="9" xfId="6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175" fontId="2" fillId="6" borderId="0" xfId="3" applyNumberFormat="1" applyFill="1"/>
    <xf numFmtId="44" fontId="2" fillId="6" borderId="0" xfId="3" applyNumberFormat="1" applyFill="1"/>
  </cellXfs>
  <cellStyles count="15">
    <cellStyle name="Comma 2" xfId="4" xr:uid="{00000000-0005-0000-0000-000000000000}"/>
    <cellStyle name="Currency" xfId="1" builtinId="4"/>
    <cellStyle name="Currency 2" xfId="5" xr:uid="{00000000-0005-0000-0000-000002000000}"/>
    <cellStyle name="Currency 2 3" xfId="11" xr:uid="{2C383758-76F3-441C-9455-C5FC69476548}"/>
    <cellStyle name="Currency 3" xfId="14" xr:uid="{7CC2658F-E8B3-46F4-AC8A-6E0004400C1E}"/>
    <cellStyle name="Hyperlink" xfId="10" builtinId="8"/>
    <cellStyle name="Normal" xfId="0" builtinId="0"/>
    <cellStyle name="Normal 2" xfId="3" xr:uid="{00000000-0005-0000-0000-000004000000}"/>
    <cellStyle name="Normal 2 2" xfId="6" xr:uid="{00000000-0005-0000-0000-000005000000}"/>
    <cellStyle name="Normal 3" xfId="7" xr:uid="{00000000-0005-0000-0000-000006000000}"/>
    <cellStyle name="Normal 4" xfId="12" xr:uid="{0C2E6562-5690-44D5-9CB2-3A8E85539E67}"/>
    <cellStyle name="Percent" xfId="2" builtinId="5"/>
    <cellStyle name="Percent 2" xfId="8" xr:uid="{00000000-0005-0000-0000-000008000000}"/>
    <cellStyle name="Percent 2 2" xfId="9" xr:uid="{00000000-0005-0000-0000-000009000000}"/>
    <cellStyle name="Percent 3" xfId="13" xr:uid="{FCF18CB8-0158-43E6-B1F7-112D068F7C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Payoff At Maturity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'Question 2a_1'!$A$4:$A$104</c:f>
              <c:numCache>
                <c:formatCode>General</c:formatCode>
                <c:ptCount val="10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  <c:pt idx="61">
                  <c:v>131</c:v>
                </c:pt>
                <c:pt idx="62">
                  <c:v>132</c:v>
                </c:pt>
                <c:pt idx="63">
                  <c:v>133</c:v>
                </c:pt>
                <c:pt idx="64">
                  <c:v>134</c:v>
                </c:pt>
                <c:pt idx="65">
                  <c:v>135</c:v>
                </c:pt>
                <c:pt idx="66">
                  <c:v>136</c:v>
                </c:pt>
                <c:pt idx="67">
                  <c:v>137</c:v>
                </c:pt>
                <c:pt idx="68">
                  <c:v>138</c:v>
                </c:pt>
                <c:pt idx="69">
                  <c:v>139</c:v>
                </c:pt>
                <c:pt idx="70">
                  <c:v>140</c:v>
                </c:pt>
                <c:pt idx="71">
                  <c:v>141</c:v>
                </c:pt>
                <c:pt idx="72">
                  <c:v>142</c:v>
                </c:pt>
                <c:pt idx="73">
                  <c:v>143</c:v>
                </c:pt>
                <c:pt idx="74">
                  <c:v>144</c:v>
                </c:pt>
                <c:pt idx="75">
                  <c:v>145</c:v>
                </c:pt>
                <c:pt idx="76">
                  <c:v>146</c:v>
                </c:pt>
                <c:pt idx="77">
                  <c:v>147</c:v>
                </c:pt>
                <c:pt idx="78">
                  <c:v>148</c:v>
                </c:pt>
                <c:pt idx="79">
                  <c:v>149</c:v>
                </c:pt>
                <c:pt idx="80">
                  <c:v>150</c:v>
                </c:pt>
                <c:pt idx="81">
                  <c:v>151</c:v>
                </c:pt>
                <c:pt idx="82">
                  <c:v>152</c:v>
                </c:pt>
                <c:pt idx="83">
                  <c:v>153</c:v>
                </c:pt>
                <c:pt idx="84">
                  <c:v>154</c:v>
                </c:pt>
                <c:pt idx="85">
                  <c:v>155</c:v>
                </c:pt>
                <c:pt idx="86">
                  <c:v>156</c:v>
                </c:pt>
                <c:pt idx="87">
                  <c:v>157</c:v>
                </c:pt>
                <c:pt idx="88">
                  <c:v>158</c:v>
                </c:pt>
                <c:pt idx="89">
                  <c:v>159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164</c:v>
                </c:pt>
                <c:pt idx="95">
                  <c:v>165</c:v>
                </c:pt>
                <c:pt idx="96">
                  <c:v>166</c:v>
                </c:pt>
                <c:pt idx="97">
                  <c:v>167</c:v>
                </c:pt>
                <c:pt idx="98">
                  <c:v>168</c:v>
                </c:pt>
                <c:pt idx="99">
                  <c:v>169</c:v>
                </c:pt>
                <c:pt idx="100">
                  <c:v>170</c:v>
                </c:pt>
              </c:numCache>
            </c:numRef>
          </c:xVal>
          <c:yVal>
            <c:numRef>
              <c:f>'Question 2a_1'!$F$4:$F$104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19.000000006286427</c:v>
                </c:pt>
                <c:pt idx="12">
                  <c:v>18.000000006519258</c:v>
                </c:pt>
                <c:pt idx="13">
                  <c:v>17.000000006519258</c:v>
                </c:pt>
                <c:pt idx="14">
                  <c:v>16.000000006519258</c:v>
                </c:pt>
                <c:pt idx="15">
                  <c:v>15.000000005587935</c:v>
                </c:pt>
                <c:pt idx="16">
                  <c:v>14.000000005587935</c:v>
                </c:pt>
                <c:pt idx="17">
                  <c:v>13.000000005587935</c:v>
                </c:pt>
                <c:pt idx="18">
                  <c:v>12.000000005587935</c:v>
                </c:pt>
                <c:pt idx="19">
                  <c:v>11.000000007450581</c:v>
                </c:pt>
                <c:pt idx="20">
                  <c:v>10.000000007450581</c:v>
                </c:pt>
                <c:pt idx="21">
                  <c:v>9.0000000074505806</c:v>
                </c:pt>
                <c:pt idx="22">
                  <c:v>8.0000000074505806</c:v>
                </c:pt>
                <c:pt idx="23">
                  <c:v>7.0000000074505806</c:v>
                </c:pt>
                <c:pt idx="24">
                  <c:v>6.0000000074505806</c:v>
                </c:pt>
                <c:pt idx="25">
                  <c:v>5.0000000074505806</c:v>
                </c:pt>
                <c:pt idx="26">
                  <c:v>4.0000000074505806</c:v>
                </c:pt>
                <c:pt idx="27">
                  <c:v>3.0000000074505806</c:v>
                </c:pt>
                <c:pt idx="28">
                  <c:v>2.0000000074505806</c:v>
                </c:pt>
                <c:pt idx="29">
                  <c:v>1.0000000074505806</c:v>
                </c:pt>
                <c:pt idx="30">
                  <c:v>7.4505805969238281E-9</c:v>
                </c:pt>
                <c:pt idx="31">
                  <c:v>7.4505805969238281E-9</c:v>
                </c:pt>
                <c:pt idx="32">
                  <c:v>7.4505805969238281E-9</c:v>
                </c:pt>
                <c:pt idx="33">
                  <c:v>7.4505805969238281E-9</c:v>
                </c:pt>
                <c:pt idx="34">
                  <c:v>7.4505805969238281E-9</c:v>
                </c:pt>
                <c:pt idx="35">
                  <c:v>7.4505805969238281E-9</c:v>
                </c:pt>
                <c:pt idx="36">
                  <c:v>7.4505805969238281E-9</c:v>
                </c:pt>
                <c:pt idx="37">
                  <c:v>7.4505805969238281E-9</c:v>
                </c:pt>
                <c:pt idx="38">
                  <c:v>7.4505805969238281E-9</c:v>
                </c:pt>
                <c:pt idx="39">
                  <c:v>7.4505805969238281E-9</c:v>
                </c:pt>
                <c:pt idx="40">
                  <c:v>7.4505805969238281E-9</c:v>
                </c:pt>
                <c:pt idx="41">
                  <c:v>7.4505805969238281E-9</c:v>
                </c:pt>
                <c:pt idx="42">
                  <c:v>7.4505805969238281E-9</c:v>
                </c:pt>
                <c:pt idx="43">
                  <c:v>7.4505805969238281E-9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FE-4F15-836D-642D044A89F6}"/>
            </c:ext>
          </c:extLst>
        </c:ser>
        <c:ser>
          <c:idx val="0"/>
          <c:order val="1"/>
          <c:marker>
            <c:symbol val="none"/>
          </c:marker>
          <c:xVal>
            <c:numRef>
              <c:f>'Question 2a_1'!$A$4:$A$104</c:f>
              <c:numCache>
                <c:formatCode>General</c:formatCode>
                <c:ptCount val="10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  <c:pt idx="61">
                  <c:v>131</c:v>
                </c:pt>
                <c:pt idx="62">
                  <c:v>132</c:v>
                </c:pt>
                <c:pt idx="63">
                  <c:v>133</c:v>
                </c:pt>
                <c:pt idx="64">
                  <c:v>134</c:v>
                </c:pt>
                <c:pt idx="65">
                  <c:v>135</c:v>
                </c:pt>
                <c:pt idx="66">
                  <c:v>136</c:v>
                </c:pt>
                <c:pt idx="67">
                  <c:v>137</c:v>
                </c:pt>
                <c:pt idx="68">
                  <c:v>138</c:v>
                </c:pt>
                <c:pt idx="69">
                  <c:v>139</c:v>
                </c:pt>
                <c:pt idx="70">
                  <c:v>140</c:v>
                </c:pt>
                <c:pt idx="71">
                  <c:v>141</c:v>
                </c:pt>
                <c:pt idx="72">
                  <c:v>142</c:v>
                </c:pt>
                <c:pt idx="73">
                  <c:v>143</c:v>
                </c:pt>
                <c:pt idx="74">
                  <c:v>144</c:v>
                </c:pt>
                <c:pt idx="75">
                  <c:v>145</c:v>
                </c:pt>
                <c:pt idx="76">
                  <c:v>146</c:v>
                </c:pt>
                <c:pt idx="77">
                  <c:v>147</c:v>
                </c:pt>
                <c:pt idx="78">
                  <c:v>148</c:v>
                </c:pt>
                <c:pt idx="79">
                  <c:v>149</c:v>
                </c:pt>
                <c:pt idx="80">
                  <c:v>150</c:v>
                </c:pt>
                <c:pt idx="81">
                  <c:v>151</c:v>
                </c:pt>
                <c:pt idx="82">
                  <c:v>152</c:v>
                </c:pt>
                <c:pt idx="83">
                  <c:v>153</c:v>
                </c:pt>
                <c:pt idx="84">
                  <c:v>154</c:v>
                </c:pt>
                <c:pt idx="85">
                  <c:v>155</c:v>
                </c:pt>
                <c:pt idx="86">
                  <c:v>156</c:v>
                </c:pt>
                <c:pt idx="87">
                  <c:v>157</c:v>
                </c:pt>
                <c:pt idx="88">
                  <c:v>158</c:v>
                </c:pt>
                <c:pt idx="89">
                  <c:v>159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164</c:v>
                </c:pt>
                <c:pt idx="95">
                  <c:v>165</c:v>
                </c:pt>
                <c:pt idx="96">
                  <c:v>166</c:v>
                </c:pt>
                <c:pt idx="97">
                  <c:v>167</c:v>
                </c:pt>
                <c:pt idx="98">
                  <c:v>168</c:v>
                </c:pt>
                <c:pt idx="99">
                  <c:v>169</c:v>
                </c:pt>
                <c:pt idx="100">
                  <c:v>170</c:v>
                </c:pt>
              </c:numCache>
            </c:numRef>
          </c:xVal>
          <c:yVal>
            <c:numRef>
              <c:f>'Question 2a_1'!$G$4:$G$104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FE-4F15-836D-642D044A8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1104"/>
        <c:axId val="109245568"/>
      </c:scatterChart>
      <c:valAx>
        <c:axId val="109231104"/>
        <c:scaling>
          <c:orientation val="minMax"/>
          <c:max val="170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Stock Price on maturity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245568"/>
        <c:crosses val="autoZero"/>
        <c:crossBetween val="midCat"/>
      </c:valAx>
      <c:valAx>
        <c:axId val="1092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231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Replication</a:t>
            </a:r>
            <a:r>
              <a:rPr lang="en-US" baseline="0"/>
              <a:t> Slippage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'Question 2a_1'!$A$4:$A$104</c:f>
              <c:numCache>
                <c:formatCode>General</c:formatCode>
                <c:ptCount val="10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  <c:pt idx="61">
                  <c:v>131</c:v>
                </c:pt>
                <c:pt idx="62">
                  <c:v>132</c:v>
                </c:pt>
                <c:pt idx="63">
                  <c:v>133</c:v>
                </c:pt>
                <c:pt idx="64">
                  <c:v>134</c:v>
                </c:pt>
                <c:pt idx="65">
                  <c:v>135</c:v>
                </c:pt>
                <c:pt idx="66">
                  <c:v>136</c:v>
                </c:pt>
                <c:pt idx="67">
                  <c:v>137</c:v>
                </c:pt>
                <c:pt idx="68">
                  <c:v>138</c:v>
                </c:pt>
                <c:pt idx="69">
                  <c:v>139</c:v>
                </c:pt>
                <c:pt idx="70">
                  <c:v>140</c:v>
                </c:pt>
                <c:pt idx="71">
                  <c:v>141</c:v>
                </c:pt>
                <c:pt idx="72">
                  <c:v>142</c:v>
                </c:pt>
                <c:pt idx="73">
                  <c:v>143</c:v>
                </c:pt>
                <c:pt idx="74">
                  <c:v>144</c:v>
                </c:pt>
                <c:pt idx="75">
                  <c:v>145</c:v>
                </c:pt>
                <c:pt idx="76">
                  <c:v>146</c:v>
                </c:pt>
                <c:pt idx="77">
                  <c:v>147</c:v>
                </c:pt>
                <c:pt idx="78">
                  <c:v>148</c:v>
                </c:pt>
                <c:pt idx="79">
                  <c:v>149</c:v>
                </c:pt>
                <c:pt idx="80">
                  <c:v>150</c:v>
                </c:pt>
                <c:pt idx="81">
                  <c:v>151</c:v>
                </c:pt>
                <c:pt idx="82">
                  <c:v>152</c:v>
                </c:pt>
                <c:pt idx="83">
                  <c:v>153</c:v>
                </c:pt>
                <c:pt idx="84">
                  <c:v>154</c:v>
                </c:pt>
                <c:pt idx="85">
                  <c:v>155</c:v>
                </c:pt>
                <c:pt idx="86">
                  <c:v>156</c:v>
                </c:pt>
                <c:pt idx="87">
                  <c:v>157</c:v>
                </c:pt>
                <c:pt idx="88">
                  <c:v>158</c:v>
                </c:pt>
                <c:pt idx="89">
                  <c:v>159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164</c:v>
                </c:pt>
                <c:pt idx="95">
                  <c:v>165</c:v>
                </c:pt>
                <c:pt idx="96">
                  <c:v>166</c:v>
                </c:pt>
                <c:pt idx="97">
                  <c:v>167</c:v>
                </c:pt>
                <c:pt idx="98">
                  <c:v>168</c:v>
                </c:pt>
                <c:pt idx="99">
                  <c:v>169</c:v>
                </c:pt>
                <c:pt idx="100">
                  <c:v>170</c:v>
                </c:pt>
              </c:numCache>
            </c:numRef>
          </c:xVal>
          <c:yVal>
            <c:numRef>
              <c:f>'Question 2a_1'!$H$4:$H$104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6.28642737865448E-9</c:v>
                </c:pt>
                <c:pt idx="12">
                  <c:v>6.5192580223083496E-9</c:v>
                </c:pt>
                <c:pt idx="13">
                  <c:v>6.5192580223083496E-9</c:v>
                </c:pt>
                <c:pt idx="14">
                  <c:v>6.5192580223083496E-9</c:v>
                </c:pt>
                <c:pt idx="15">
                  <c:v>5.5879354476928711E-9</c:v>
                </c:pt>
                <c:pt idx="16">
                  <c:v>5.5879354476928711E-9</c:v>
                </c:pt>
                <c:pt idx="17">
                  <c:v>5.5879354476928711E-9</c:v>
                </c:pt>
                <c:pt idx="18">
                  <c:v>5.5879354476928711E-9</c:v>
                </c:pt>
                <c:pt idx="19">
                  <c:v>7.4505805969238281E-9</c:v>
                </c:pt>
                <c:pt idx="20">
                  <c:v>7.4505805969238281E-9</c:v>
                </c:pt>
                <c:pt idx="21">
                  <c:v>7.4505805969238281E-9</c:v>
                </c:pt>
                <c:pt idx="22">
                  <c:v>7.4505805969238281E-9</c:v>
                </c:pt>
                <c:pt idx="23">
                  <c:v>7.4505805969238281E-9</c:v>
                </c:pt>
                <c:pt idx="24">
                  <c:v>7.4505805969238281E-9</c:v>
                </c:pt>
                <c:pt idx="25">
                  <c:v>7.4505805969238281E-9</c:v>
                </c:pt>
                <c:pt idx="26">
                  <c:v>7.4505805969238281E-9</c:v>
                </c:pt>
                <c:pt idx="27">
                  <c:v>7.4505805969238281E-9</c:v>
                </c:pt>
                <c:pt idx="28">
                  <c:v>7.4505805969238281E-9</c:v>
                </c:pt>
                <c:pt idx="29">
                  <c:v>7.4505805969238281E-9</c:v>
                </c:pt>
                <c:pt idx="30">
                  <c:v>7.4505805969238281E-9</c:v>
                </c:pt>
                <c:pt idx="31">
                  <c:v>7.4505805969238281E-9</c:v>
                </c:pt>
                <c:pt idx="32">
                  <c:v>7.4505805969238281E-9</c:v>
                </c:pt>
                <c:pt idx="33">
                  <c:v>7.4505805969238281E-9</c:v>
                </c:pt>
                <c:pt idx="34">
                  <c:v>7.4505805969238281E-9</c:v>
                </c:pt>
                <c:pt idx="35">
                  <c:v>7.4505805969238281E-9</c:v>
                </c:pt>
                <c:pt idx="36">
                  <c:v>7.4505805969238281E-9</c:v>
                </c:pt>
                <c:pt idx="37">
                  <c:v>7.4505805969238281E-9</c:v>
                </c:pt>
                <c:pt idx="38">
                  <c:v>7.4505805969238281E-9</c:v>
                </c:pt>
                <c:pt idx="39">
                  <c:v>7.4505805969238281E-9</c:v>
                </c:pt>
                <c:pt idx="40">
                  <c:v>7.4505805969238281E-9</c:v>
                </c:pt>
                <c:pt idx="41">
                  <c:v>7.4505805969238281E-9</c:v>
                </c:pt>
                <c:pt idx="42">
                  <c:v>7.4505805969238281E-9</c:v>
                </c:pt>
                <c:pt idx="43">
                  <c:v>7.4505805969238281E-9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A6-40E6-B696-1139C114C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1104"/>
        <c:axId val="109245568"/>
      </c:scatterChart>
      <c:valAx>
        <c:axId val="109231104"/>
        <c:scaling>
          <c:orientation val="minMax"/>
          <c:max val="170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on 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5568"/>
        <c:crosses val="autoZero"/>
        <c:crossBetween val="midCat"/>
      </c:valAx>
      <c:valAx>
        <c:axId val="1092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110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2a_1'!$AM$4</c:f>
              <c:strCache>
                <c:ptCount val="1"/>
                <c:pt idx="0">
                  <c:v>payoff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2a_1'!$AL$5:$AL$128</c:f>
              <c:numCache>
                <c:formatCode>General</c:formatCode>
                <c:ptCount val="1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</c:numCache>
            </c:numRef>
          </c:xVal>
          <c:yVal>
            <c:numRef>
              <c:f>'Question 2a_1'!$AM$5:$AM$128</c:f>
              <c:numCache>
                <c:formatCode>General</c:formatCode>
                <c:ptCount val="1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</c:v>
                </c:pt>
                <c:pt idx="7">
                  <c:v>76</c:v>
                </c:pt>
                <c:pt idx="8">
                  <c:v>136</c:v>
                </c:pt>
                <c:pt idx="9">
                  <c:v>204</c:v>
                </c:pt>
                <c:pt idx="10">
                  <c:v>280</c:v>
                </c:pt>
                <c:pt idx="11">
                  <c:v>364</c:v>
                </c:pt>
                <c:pt idx="12">
                  <c:v>456</c:v>
                </c:pt>
                <c:pt idx="13">
                  <c:v>556</c:v>
                </c:pt>
                <c:pt idx="14">
                  <c:v>664</c:v>
                </c:pt>
                <c:pt idx="15">
                  <c:v>780</c:v>
                </c:pt>
                <c:pt idx="16">
                  <c:v>904</c:v>
                </c:pt>
                <c:pt idx="17">
                  <c:v>1036</c:v>
                </c:pt>
                <c:pt idx="18">
                  <c:v>1176</c:v>
                </c:pt>
                <c:pt idx="19">
                  <c:v>1324</c:v>
                </c:pt>
                <c:pt idx="20">
                  <c:v>1480</c:v>
                </c:pt>
                <c:pt idx="21">
                  <c:v>1644</c:v>
                </c:pt>
                <c:pt idx="22">
                  <c:v>1816</c:v>
                </c:pt>
                <c:pt idx="23">
                  <c:v>1996</c:v>
                </c:pt>
                <c:pt idx="24">
                  <c:v>2184</c:v>
                </c:pt>
                <c:pt idx="25">
                  <c:v>2380</c:v>
                </c:pt>
                <c:pt idx="26">
                  <c:v>2584</c:v>
                </c:pt>
                <c:pt idx="27">
                  <c:v>2796</c:v>
                </c:pt>
                <c:pt idx="28">
                  <c:v>3016</c:v>
                </c:pt>
                <c:pt idx="29">
                  <c:v>3244</c:v>
                </c:pt>
                <c:pt idx="30">
                  <c:v>3480</c:v>
                </c:pt>
                <c:pt idx="31">
                  <c:v>3724</c:v>
                </c:pt>
                <c:pt idx="32">
                  <c:v>3976</c:v>
                </c:pt>
                <c:pt idx="33">
                  <c:v>4236</c:v>
                </c:pt>
                <c:pt idx="34">
                  <c:v>4504</c:v>
                </c:pt>
                <c:pt idx="35">
                  <c:v>4780</c:v>
                </c:pt>
                <c:pt idx="36">
                  <c:v>5064</c:v>
                </c:pt>
                <c:pt idx="37">
                  <c:v>5356</c:v>
                </c:pt>
                <c:pt idx="38">
                  <c:v>5656</c:v>
                </c:pt>
                <c:pt idx="39">
                  <c:v>5964</c:v>
                </c:pt>
                <c:pt idx="40">
                  <c:v>6280</c:v>
                </c:pt>
                <c:pt idx="41">
                  <c:v>6604</c:v>
                </c:pt>
                <c:pt idx="42">
                  <c:v>6936</c:v>
                </c:pt>
                <c:pt idx="43">
                  <c:v>7276</c:v>
                </c:pt>
                <c:pt idx="44">
                  <c:v>7624</c:v>
                </c:pt>
                <c:pt idx="45">
                  <c:v>7980</c:v>
                </c:pt>
                <c:pt idx="46">
                  <c:v>8344</c:v>
                </c:pt>
                <c:pt idx="47">
                  <c:v>8716</c:v>
                </c:pt>
                <c:pt idx="48">
                  <c:v>9096</c:v>
                </c:pt>
                <c:pt idx="49">
                  <c:v>9484</c:v>
                </c:pt>
                <c:pt idx="50">
                  <c:v>9880</c:v>
                </c:pt>
                <c:pt idx="51">
                  <c:v>10284</c:v>
                </c:pt>
                <c:pt idx="52">
                  <c:v>10696</c:v>
                </c:pt>
                <c:pt idx="53">
                  <c:v>11116</c:v>
                </c:pt>
                <c:pt idx="54">
                  <c:v>11544</c:v>
                </c:pt>
                <c:pt idx="55">
                  <c:v>11980</c:v>
                </c:pt>
                <c:pt idx="56">
                  <c:v>12424</c:v>
                </c:pt>
                <c:pt idx="57">
                  <c:v>12876</c:v>
                </c:pt>
                <c:pt idx="58">
                  <c:v>13336</c:v>
                </c:pt>
                <c:pt idx="59">
                  <c:v>13804</c:v>
                </c:pt>
                <c:pt idx="60">
                  <c:v>14280</c:v>
                </c:pt>
                <c:pt idx="61">
                  <c:v>14764</c:v>
                </c:pt>
                <c:pt idx="62">
                  <c:v>15256</c:v>
                </c:pt>
                <c:pt idx="63">
                  <c:v>15756</c:v>
                </c:pt>
                <c:pt idx="64">
                  <c:v>16264</c:v>
                </c:pt>
                <c:pt idx="65">
                  <c:v>16780</c:v>
                </c:pt>
                <c:pt idx="66">
                  <c:v>17304</c:v>
                </c:pt>
                <c:pt idx="67">
                  <c:v>17836</c:v>
                </c:pt>
                <c:pt idx="68">
                  <c:v>18376</c:v>
                </c:pt>
                <c:pt idx="69">
                  <c:v>18924</c:v>
                </c:pt>
                <c:pt idx="70">
                  <c:v>19480</c:v>
                </c:pt>
                <c:pt idx="71">
                  <c:v>20044</c:v>
                </c:pt>
                <c:pt idx="72">
                  <c:v>20616</c:v>
                </c:pt>
                <c:pt idx="73">
                  <c:v>21196</c:v>
                </c:pt>
                <c:pt idx="74">
                  <c:v>21784</c:v>
                </c:pt>
                <c:pt idx="75">
                  <c:v>22380</c:v>
                </c:pt>
                <c:pt idx="76">
                  <c:v>22984</c:v>
                </c:pt>
                <c:pt idx="77">
                  <c:v>23596</c:v>
                </c:pt>
                <c:pt idx="78">
                  <c:v>24216</c:v>
                </c:pt>
                <c:pt idx="79">
                  <c:v>24844</c:v>
                </c:pt>
                <c:pt idx="80">
                  <c:v>25480</c:v>
                </c:pt>
                <c:pt idx="81">
                  <c:v>26124</c:v>
                </c:pt>
                <c:pt idx="82">
                  <c:v>26776</c:v>
                </c:pt>
                <c:pt idx="83">
                  <c:v>27436</c:v>
                </c:pt>
                <c:pt idx="84">
                  <c:v>28104</c:v>
                </c:pt>
                <c:pt idx="85">
                  <c:v>28780</c:v>
                </c:pt>
                <c:pt idx="86">
                  <c:v>29464</c:v>
                </c:pt>
                <c:pt idx="87">
                  <c:v>30156</c:v>
                </c:pt>
                <c:pt idx="88">
                  <c:v>30856</c:v>
                </c:pt>
                <c:pt idx="89">
                  <c:v>31564</c:v>
                </c:pt>
                <c:pt idx="90">
                  <c:v>32280</c:v>
                </c:pt>
                <c:pt idx="91">
                  <c:v>33004</c:v>
                </c:pt>
                <c:pt idx="92">
                  <c:v>33736</c:v>
                </c:pt>
                <c:pt idx="93">
                  <c:v>34476</c:v>
                </c:pt>
                <c:pt idx="94">
                  <c:v>35224</c:v>
                </c:pt>
                <c:pt idx="95">
                  <c:v>35980</c:v>
                </c:pt>
                <c:pt idx="96">
                  <c:v>36744</c:v>
                </c:pt>
                <c:pt idx="97">
                  <c:v>37516</c:v>
                </c:pt>
                <c:pt idx="98">
                  <c:v>38296</c:v>
                </c:pt>
                <c:pt idx="99">
                  <c:v>39084</c:v>
                </c:pt>
                <c:pt idx="100">
                  <c:v>39880</c:v>
                </c:pt>
                <c:pt idx="101">
                  <c:v>40684</c:v>
                </c:pt>
                <c:pt idx="102">
                  <c:v>41496</c:v>
                </c:pt>
                <c:pt idx="103">
                  <c:v>42316</c:v>
                </c:pt>
                <c:pt idx="104">
                  <c:v>43144</c:v>
                </c:pt>
                <c:pt idx="105">
                  <c:v>43980</c:v>
                </c:pt>
                <c:pt idx="106">
                  <c:v>44824</c:v>
                </c:pt>
                <c:pt idx="107">
                  <c:v>45676</c:v>
                </c:pt>
                <c:pt idx="108">
                  <c:v>46536</c:v>
                </c:pt>
                <c:pt idx="109">
                  <c:v>47404</c:v>
                </c:pt>
                <c:pt idx="110">
                  <c:v>48280</c:v>
                </c:pt>
                <c:pt idx="111">
                  <c:v>49164</c:v>
                </c:pt>
                <c:pt idx="112">
                  <c:v>50056</c:v>
                </c:pt>
                <c:pt idx="113">
                  <c:v>50956</c:v>
                </c:pt>
                <c:pt idx="114">
                  <c:v>51864</c:v>
                </c:pt>
                <c:pt idx="115">
                  <c:v>52780</c:v>
                </c:pt>
                <c:pt idx="116">
                  <c:v>53704</c:v>
                </c:pt>
                <c:pt idx="117">
                  <c:v>54636</c:v>
                </c:pt>
                <c:pt idx="118">
                  <c:v>55576</c:v>
                </c:pt>
                <c:pt idx="119">
                  <c:v>56524</c:v>
                </c:pt>
                <c:pt idx="120">
                  <c:v>57480</c:v>
                </c:pt>
                <c:pt idx="121">
                  <c:v>58444</c:v>
                </c:pt>
                <c:pt idx="122">
                  <c:v>59416</c:v>
                </c:pt>
                <c:pt idx="123">
                  <c:v>60396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0-49C9-935F-EF9EC3599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264303"/>
        <c:axId val="1844794191"/>
      </c:scatterChart>
      <c:valAx>
        <c:axId val="185026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794191"/>
        <c:crosses val="autoZero"/>
        <c:crossBetween val="midCat"/>
      </c:valAx>
      <c:valAx>
        <c:axId val="18447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26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Payoff At Maturity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'Question 2a_2'!$A$4:$A$104</c:f>
              <c:numCache>
                <c:formatCode>General</c:formatCode>
                <c:ptCount val="10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  <c:pt idx="61">
                  <c:v>131</c:v>
                </c:pt>
                <c:pt idx="62">
                  <c:v>132</c:v>
                </c:pt>
                <c:pt idx="63">
                  <c:v>133</c:v>
                </c:pt>
                <c:pt idx="64">
                  <c:v>134</c:v>
                </c:pt>
                <c:pt idx="65">
                  <c:v>135</c:v>
                </c:pt>
                <c:pt idx="66">
                  <c:v>136</c:v>
                </c:pt>
                <c:pt idx="67">
                  <c:v>137</c:v>
                </c:pt>
                <c:pt idx="68">
                  <c:v>138</c:v>
                </c:pt>
                <c:pt idx="69">
                  <c:v>139</c:v>
                </c:pt>
                <c:pt idx="70">
                  <c:v>140</c:v>
                </c:pt>
                <c:pt idx="71">
                  <c:v>141</c:v>
                </c:pt>
                <c:pt idx="72">
                  <c:v>142</c:v>
                </c:pt>
                <c:pt idx="73">
                  <c:v>143</c:v>
                </c:pt>
                <c:pt idx="74">
                  <c:v>144</c:v>
                </c:pt>
                <c:pt idx="75">
                  <c:v>145</c:v>
                </c:pt>
                <c:pt idx="76">
                  <c:v>146</c:v>
                </c:pt>
                <c:pt idx="77">
                  <c:v>147</c:v>
                </c:pt>
                <c:pt idx="78">
                  <c:v>148</c:v>
                </c:pt>
                <c:pt idx="79">
                  <c:v>149</c:v>
                </c:pt>
                <c:pt idx="80">
                  <c:v>150</c:v>
                </c:pt>
                <c:pt idx="81">
                  <c:v>151</c:v>
                </c:pt>
                <c:pt idx="82">
                  <c:v>152</c:v>
                </c:pt>
                <c:pt idx="83">
                  <c:v>153</c:v>
                </c:pt>
                <c:pt idx="84">
                  <c:v>154</c:v>
                </c:pt>
                <c:pt idx="85">
                  <c:v>155</c:v>
                </c:pt>
                <c:pt idx="86">
                  <c:v>156</c:v>
                </c:pt>
                <c:pt idx="87">
                  <c:v>157</c:v>
                </c:pt>
                <c:pt idx="88">
                  <c:v>158</c:v>
                </c:pt>
                <c:pt idx="89">
                  <c:v>159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164</c:v>
                </c:pt>
                <c:pt idx="95">
                  <c:v>165</c:v>
                </c:pt>
                <c:pt idx="96">
                  <c:v>166</c:v>
                </c:pt>
                <c:pt idx="97">
                  <c:v>167</c:v>
                </c:pt>
                <c:pt idx="98">
                  <c:v>168</c:v>
                </c:pt>
                <c:pt idx="99">
                  <c:v>169</c:v>
                </c:pt>
                <c:pt idx="100">
                  <c:v>170</c:v>
                </c:pt>
              </c:numCache>
            </c:numRef>
          </c:xVal>
          <c:yVal>
            <c:numRef>
              <c:f>'Question 2a_2'!$F$4:$F$104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-6.6938810050487518E-10</c:v>
                </c:pt>
                <c:pt idx="52">
                  <c:v>-6.4028427004814148E-10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66-465E-9A6E-55723D6F793C}"/>
            </c:ext>
          </c:extLst>
        </c:ser>
        <c:ser>
          <c:idx val="0"/>
          <c:order val="1"/>
          <c:marker>
            <c:symbol val="none"/>
          </c:marker>
          <c:xVal>
            <c:numRef>
              <c:f>'Question 2a_2'!$A$4:$A$104</c:f>
              <c:numCache>
                <c:formatCode>General</c:formatCode>
                <c:ptCount val="10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  <c:pt idx="61">
                  <c:v>131</c:v>
                </c:pt>
                <c:pt idx="62">
                  <c:v>132</c:v>
                </c:pt>
                <c:pt idx="63">
                  <c:v>133</c:v>
                </c:pt>
                <c:pt idx="64">
                  <c:v>134</c:v>
                </c:pt>
                <c:pt idx="65">
                  <c:v>135</c:v>
                </c:pt>
                <c:pt idx="66">
                  <c:v>136</c:v>
                </c:pt>
                <c:pt idx="67">
                  <c:v>137</c:v>
                </c:pt>
                <c:pt idx="68">
                  <c:v>138</c:v>
                </c:pt>
                <c:pt idx="69">
                  <c:v>139</c:v>
                </c:pt>
                <c:pt idx="70">
                  <c:v>140</c:v>
                </c:pt>
                <c:pt idx="71">
                  <c:v>141</c:v>
                </c:pt>
                <c:pt idx="72">
                  <c:v>142</c:v>
                </c:pt>
                <c:pt idx="73">
                  <c:v>143</c:v>
                </c:pt>
                <c:pt idx="74">
                  <c:v>144</c:v>
                </c:pt>
                <c:pt idx="75">
                  <c:v>145</c:v>
                </c:pt>
                <c:pt idx="76">
                  <c:v>146</c:v>
                </c:pt>
                <c:pt idx="77">
                  <c:v>147</c:v>
                </c:pt>
                <c:pt idx="78">
                  <c:v>148</c:v>
                </c:pt>
                <c:pt idx="79">
                  <c:v>149</c:v>
                </c:pt>
                <c:pt idx="80">
                  <c:v>150</c:v>
                </c:pt>
                <c:pt idx="81">
                  <c:v>151</c:v>
                </c:pt>
                <c:pt idx="82">
                  <c:v>152</c:v>
                </c:pt>
                <c:pt idx="83">
                  <c:v>153</c:v>
                </c:pt>
                <c:pt idx="84">
                  <c:v>154</c:v>
                </c:pt>
                <c:pt idx="85">
                  <c:v>155</c:v>
                </c:pt>
                <c:pt idx="86">
                  <c:v>156</c:v>
                </c:pt>
                <c:pt idx="87">
                  <c:v>157</c:v>
                </c:pt>
                <c:pt idx="88">
                  <c:v>158</c:v>
                </c:pt>
                <c:pt idx="89">
                  <c:v>159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164</c:v>
                </c:pt>
                <c:pt idx="95">
                  <c:v>165</c:v>
                </c:pt>
                <c:pt idx="96">
                  <c:v>166</c:v>
                </c:pt>
                <c:pt idx="97">
                  <c:v>167</c:v>
                </c:pt>
                <c:pt idx="98">
                  <c:v>168</c:v>
                </c:pt>
                <c:pt idx="99">
                  <c:v>169</c:v>
                </c:pt>
                <c:pt idx="100">
                  <c:v>170</c:v>
                </c:pt>
              </c:numCache>
            </c:numRef>
          </c:xVal>
          <c:yVal>
            <c:numRef>
              <c:f>'Question 2a_2'!$G$4:$G$104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66-465E-9A6E-55723D6F7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1104"/>
        <c:axId val="109245568"/>
      </c:scatterChart>
      <c:valAx>
        <c:axId val="109231104"/>
        <c:scaling>
          <c:orientation val="minMax"/>
          <c:max val="170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Stock Price on maturity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245568"/>
        <c:crosses val="autoZero"/>
        <c:crossBetween val="midCat"/>
      </c:valAx>
      <c:valAx>
        <c:axId val="1092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231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Replication</a:t>
            </a:r>
            <a:r>
              <a:rPr lang="en-US" baseline="0"/>
              <a:t> Slippage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'Question 2a_2'!$A$4:$A$104</c:f>
              <c:numCache>
                <c:formatCode>General</c:formatCode>
                <c:ptCount val="10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  <c:pt idx="61">
                  <c:v>131</c:v>
                </c:pt>
                <c:pt idx="62">
                  <c:v>132</c:v>
                </c:pt>
                <c:pt idx="63">
                  <c:v>133</c:v>
                </c:pt>
                <c:pt idx="64">
                  <c:v>134</c:v>
                </c:pt>
                <c:pt idx="65">
                  <c:v>135</c:v>
                </c:pt>
                <c:pt idx="66">
                  <c:v>136</c:v>
                </c:pt>
                <c:pt idx="67">
                  <c:v>137</c:v>
                </c:pt>
                <c:pt idx="68">
                  <c:v>138</c:v>
                </c:pt>
                <c:pt idx="69">
                  <c:v>139</c:v>
                </c:pt>
                <c:pt idx="70">
                  <c:v>140</c:v>
                </c:pt>
                <c:pt idx="71">
                  <c:v>141</c:v>
                </c:pt>
                <c:pt idx="72">
                  <c:v>142</c:v>
                </c:pt>
                <c:pt idx="73">
                  <c:v>143</c:v>
                </c:pt>
                <c:pt idx="74">
                  <c:v>144</c:v>
                </c:pt>
                <c:pt idx="75">
                  <c:v>145</c:v>
                </c:pt>
                <c:pt idx="76">
                  <c:v>146</c:v>
                </c:pt>
                <c:pt idx="77">
                  <c:v>147</c:v>
                </c:pt>
                <c:pt idx="78">
                  <c:v>148</c:v>
                </c:pt>
                <c:pt idx="79">
                  <c:v>149</c:v>
                </c:pt>
                <c:pt idx="80">
                  <c:v>150</c:v>
                </c:pt>
                <c:pt idx="81">
                  <c:v>151</c:v>
                </c:pt>
                <c:pt idx="82">
                  <c:v>152</c:v>
                </c:pt>
                <c:pt idx="83">
                  <c:v>153</c:v>
                </c:pt>
                <c:pt idx="84">
                  <c:v>154</c:v>
                </c:pt>
                <c:pt idx="85">
                  <c:v>155</c:v>
                </c:pt>
                <c:pt idx="86">
                  <c:v>156</c:v>
                </c:pt>
                <c:pt idx="87">
                  <c:v>157</c:v>
                </c:pt>
                <c:pt idx="88">
                  <c:v>158</c:v>
                </c:pt>
                <c:pt idx="89">
                  <c:v>159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164</c:v>
                </c:pt>
                <c:pt idx="95">
                  <c:v>165</c:v>
                </c:pt>
                <c:pt idx="96">
                  <c:v>166</c:v>
                </c:pt>
                <c:pt idx="97">
                  <c:v>167</c:v>
                </c:pt>
                <c:pt idx="98">
                  <c:v>168</c:v>
                </c:pt>
                <c:pt idx="99">
                  <c:v>169</c:v>
                </c:pt>
                <c:pt idx="100">
                  <c:v>170</c:v>
                </c:pt>
              </c:numCache>
            </c:numRef>
          </c:xVal>
          <c:yVal>
            <c:numRef>
              <c:f>'Question 2a_2'!$H$4:$H$104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-6.6938810050487518E-10</c:v>
                </c:pt>
                <c:pt idx="52">
                  <c:v>-6.4028427004814148E-10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B5-4B0B-B66F-CD2C2A2A3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1104"/>
        <c:axId val="109245568"/>
      </c:scatterChart>
      <c:valAx>
        <c:axId val="109231104"/>
        <c:scaling>
          <c:orientation val="minMax"/>
          <c:max val="170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on 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5568"/>
        <c:crosses val="autoZero"/>
        <c:crossBetween val="midCat"/>
      </c:valAx>
      <c:valAx>
        <c:axId val="1092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110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2a_2'!$AM$4</c:f>
              <c:strCache>
                <c:ptCount val="1"/>
                <c:pt idx="0">
                  <c:v>payoff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2a_2'!$AL$5:$AL$128</c:f>
              <c:numCache>
                <c:formatCode>General</c:formatCode>
                <c:ptCount val="1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</c:numCache>
            </c:numRef>
          </c:xVal>
          <c:yVal>
            <c:numRef>
              <c:f>'Question 2a_2'!$AM$5:$AM$128</c:f>
              <c:numCache>
                <c:formatCode>General</c:formatCode>
                <c:ptCount val="1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</c:v>
                </c:pt>
                <c:pt idx="7">
                  <c:v>76</c:v>
                </c:pt>
                <c:pt idx="8">
                  <c:v>136</c:v>
                </c:pt>
                <c:pt idx="9">
                  <c:v>204</c:v>
                </c:pt>
                <c:pt idx="10">
                  <c:v>280</c:v>
                </c:pt>
                <c:pt idx="11">
                  <c:v>364</c:v>
                </c:pt>
                <c:pt idx="12">
                  <c:v>456</c:v>
                </c:pt>
                <c:pt idx="13">
                  <c:v>556</c:v>
                </c:pt>
                <c:pt idx="14">
                  <c:v>664</c:v>
                </c:pt>
                <c:pt idx="15">
                  <c:v>780</c:v>
                </c:pt>
                <c:pt idx="16">
                  <c:v>904</c:v>
                </c:pt>
                <c:pt idx="17">
                  <c:v>1036</c:v>
                </c:pt>
                <c:pt idx="18">
                  <c:v>1176</c:v>
                </c:pt>
                <c:pt idx="19">
                  <c:v>1324</c:v>
                </c:pt>
                <c:pt idx="20">
                  <c:v>1480</c:v>
                </c:pt>
                <c:pt idx="21">
                  <c:v>1644</c:v>
                </c:pt>
                <c:pt idx="22">
                  <c:v>1816</c:v>
                </c:pt>
                <c:pt idx="23">
                  <c:v>1996</c:v>
                </c:pt>
                <c:pt idx="24">
                  <c:v>2184</c:v>
                </c:pt>
                <c:pt idx="25">
                  <c:v>2380</c:v>
                </c:pt>
                <c:pt idx="26">
                  <c:v>2584</c:v>
                </c:pt>
                <c:pt idx="27">
                  <c:v>2796</c:v>
                </c:pt>
                <c:pt idx="28">
                  <c:v>3016</c:v>
                </c:pt>
                <c:pt idx="29">
                  <c:v>3244</c:v>
                </c:pt>
                <c:pt idx="30">
                  <c:v>3480</c:v>
                </c:pt>
                <c:pt idx="31">
                  <c:v>3724</c:v>
                </c:pt>
                <c:pt idx="32">
                  <c:v>3976</c:v>
                </c:pt>
                <c:pt idx="33">
                  <c:v>4236</c:v>
                </c:pt>
                <c:pt idx="34">
                  <c:v>4504</c:v>
                </c:pt>
                <c:pt idx="35">
                  <c:v>4780</c:v>
                </c:pt>
                <c:pt idx="36">
                  <c:v>5064</c:v>
                </c:pt>
                <c:pt idx="37">
                  <c:v>5356</c:v>
                </c:pt>
                <c:pt idx="38">
                  <c:v>5656</c:v>
                </c:pt>
                <c:pt idx="39">
                  <c:v>5964</c:v>
                </c:pt>
                <c:pt idx="40">
                  <c:v>6280</c:v>
                </c:pt>
                <c:pt idx="41">
                  <c:v>6604</c:v>
                </c:pt>
                <c:pt idx="42">
                  <c:v>6936</c:v>
                </c:pt>
                <c:pt idx="43">
                  <c:v>7276</c:v>
                </c:pt>
                <c:pt idx="44">
                  <c:v>7624</c:v>
                </c:pt>
                <c:pt idx="45">
                  <c:v>7980</c:v>
                </c:pt>
                <c:pt idx="46">
                  <c:v>8344</c:v>
                </c:pt>
                <c:pt idx="47">
                  <c:v>8716</c:v>
                </c:pt>
                <c:pt idx="48">
                  <c:v>9096</c:v>
                </c:pt>
                <c:pt idx="49">
                  <c:v>9484</c:v>
                </c:pt>
                <c:pt idx="50">
                  <c:v>9880</c:v>
                </c:pt>
                <c:pt idx="51">
                  <c:v>10284</c:v>
                </c:pt>
                <c:pt idx="52">
                  <c:v>10696</c:v>
                </c:pt>
                <c:pt idx="53">
                  <c:v>11116</c:v>
                </c:pt>
                <c:pt idx="54">
                  <c:v>11544</c:v>
                </c:pt>
                <c:pt idx="55">
                  <c:v>11980</c:v>
                </c:pt>
                <c:pt idx="56">
                  <c:v>12424</c:v>
                </c:pt>
                <c:pt idx="57">
                  <c:v>12876</c:v>
                </c:pt>
                <c:pt idx="58">
                  <c:v>13336</c:v>
                </c:pt>
                <c:pt idx="59">
                  <c:v>13804</c:v>
                </c:pt>
                <c:pt idx="60">
                  <c:v>14280</c:v>
                </c:pt>
                <c:pt idx="61">
                  <c:v>14764</c:v>
                </c:pt>
                <c:pt idx="62">
                  <c:v>15256</c:v>
                </c:pt>
                <c:pt idx="63">
                  <c:v>15756</c:v>
                </c:pt>
                <c:pt idx="64">
                  <c:v>16264</c:v>
                </c:pt>
                <c:pt idx="65">
                  <c:v>16780</c:v>
                </c:pt>
                <c:pt idx="66">
                  <c:v>17304</c:v>
                </c:pt>
                <c:pt idx="67">
                  <c:v>17836</c:v>
                </c:pt>
                <c:pt idx="68">
                  <c:v>18376</c:v>
                </c:pt>
                <c:pt idx="69">
                  <c:v>18924</c:v>
                </c:pt>
                <c:pt idx="70">
                  <c:v>19480</c:v>
                </c:pt>
                <c:pt idx="71">
                  <c:v>20044</c:v>
                </c:pt>
                <c:pt idx="72">
                  <c:v>20616</c:v>
                </c:pt>
                <c:pt idx="73">
                  <c:v>21196</c:v>
                </c:pt>
                <c:pt idx="74">
                  <c:v>21784</c:v>
                </c:pt>
                <c:pt idx="75">
                  <c:v>22380</c:v>
                </c:pt>
                <c:pt idx="76">
                  <c:v>22984</c:v>
                </c:pt>
                <c:pt idx="77">
                  <c:v>23596</c:v>
                </c:pt>
                <c:pt idx="78">
                  <c:v>24216</c:v>
                </c:pt>
                <c:pt idx="79">
                  <c:v>24844</c:v>
                </c:pt>
                <c:pt idx="80">
                  <c:v>25480</c:v>
                </c:pt>
                <c:pt idx="81">
                  <c:v>26124</c:v>
                </c:pt>
                <c:pt idx="82">
                  <c:v>26776</c:v>
                </c:pt>
                <c:pt idx="83">
                  <c:v>27436</c:v>
                </c:pt>
                <c:pt idx="84">
                  <c:v>28104</c:v>
                </c:pt>
                <c:pt idx="85">
                  <c:v>28780</c:v>
                </c:pt>
                <c:pt idx="86">
                  <c:v>29464</c:v>
                </c:pt>
                <c:pt idx="87">
                  <c:v>30156</c:v>
                </c:pt>
                <c:pt idx="88">
                  <c:v>30856</c:v>
                </c:pt>
                <c:pt idx="89">
                  <c:v>31564</c:v>
                </c:pt>
                <c:pt idx="90">
                  <c:v>32280</c:v>
                </c:pt>
                <c:pt idx="91">
                  <c:v>33004</c:v>
                </c:pt>
                <c:pt idx="92">
                  <c:v>33736</c:v>
                </c:pt>
                <c:pt idx="93">
                  <c:v>34476</c:v>
                </c:pt>
                <c:pt idx="94">
                  <c:v>35224</c:v>
                </c:pt>
                <c:pt idx="95">
                  <c:v>35980</c:v>
                </c:pt>
                <c:pt idx="96">
                  <c:v>36744</c:v>
                </c:pt>
                <c:pt idx="97">
                  <c:v>37516</c:v>
                </c:pt>
                <c:pt idx="98">
                  <c:v>38296</c:v>
                </c:pt>
                <c:pt idx="99">
                  <c:v>39084</c:v>
                </c:pt>
                <c:pt idx="100">
                  <c:v>39880</c:v>
                </c:pt>
                <c:pt idx="101">
                  <c:v>40684</c:v>
                </c:pt>
                <c:pt idx="102">
                  <c:v>41496</c:v>
                </c:pt>
                <c:pt idx="103">
                  <c:v>42316</c:v>
                </c:pt>
                <c:pt idx="104">
                  <c:v>43144</c:v>
                </c:pt>
                <c:pt idx="105">
                  <c:v>43980</c:v>
                </c:pt>
                <c:pt idx="106">
                  <c:v>44824</c:v>
                </c:pt>
                <c:pt idx="107">
                  <c:v>45676</c:v>
                </c:pt>
                <c:pt idx="108">
                  <c:v>46536</c:v>
                </c:pt>
                <c:pt idx="109">
                  <c:v>47404</c:v>
                </c:pt>
                <c:pt idx="110">
                  <c:v>48280</c:v>
                </c:pt>
                <c:pt idx="111">
                  <c:v>49164</c:v>
                </c:pt>
                <c:pt idx="112">
                  <c:v>50056</c:v>
                </c:pt>
                <c:pt idx="113">
                  <c:v>50956</c:v>
                </c:pt>
                <c:pt idx="114">
                  <c:v>51864</c:v>
                </c:pt>
                <c:pt idx="115">
                  <c:v>52780</c:v>
                </c:pt>
                <c:pt idx="116">
                  <c:v>53704</c:v>
                </c:pt>
                <c:pt idx="117">
                  <c:v>54636</c:v>
                </c:pt>
                <c:pt idx="118">
                  <c:v>55576</c:v>
                </c:pt>
                <c:pt idx="119">
                  <c:v>56524</c:v>
                </c:pt>
                <c:pt idx="120">
                  <c:v>57480</c:v>
                </c:pt>
                <c:pt idx="121">
                  <c:v>58444</c:v>
                </c:pt>
                <c:pt idx="122">
                  <c:v>59416</c:v>
                </c:pt>
                <c:pt idx="123">
                  <c:v>60396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A-4443-AEC7-4371433D4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264303"/>
        <c:axId val="1844794191"/>
      </c:scatterChart>
      <c:valAx>
        <c:axId val="185026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794191"/>
        <c:crosses val="autoZero"/>
        <c:crossBetween val="midCat"/>
      </c:valAx>
      <c:valAx>
        <c:axId val="18447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26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Payoff At Maturity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'Question 2a_3'!$A$4:$A$104</c:f>
              <c:numCache>
                <c:formatCode>General</c:formatCode>
                <c:ptCount val="10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  <c:pt idx="61">
                  <c:v>131</c:v>
                </c:pt>
                <c:pt idx="62">
                  <c:v>132</c:v>
                </c:pt>
                <c:pt idx="63">
                  <c:v>133</c:v>
                </c:pt>
                <c:pt idx="64">
                  <c:v>134</c:v>
                </c:pt>
                <c:pt idx="65">
                  <c:v>135</c:v>
                </c:pt>
                <c:pt idx="66">
                  <c:v>136</c:v>
                </c:pt>
                <c:pt idx="67">
                  <c:v>137</c:v>
                </c:pt>
                <c:pt idx="68">
                  <c:v>138</c:v>
                </c:pt>
                <c:pt idx="69">
                  <c:v>139</c:v>
                </c:pt>
                <c:pt idx="70">
                  <c:v>140</c:v>
                </c:pt>
                <c:pt idx="71">
                  <c:v>141</c:v>
                </c:pt>
                <c:pt idx="72">
                  <c:v>142</c:v>
                </c:pt>
                <c:pt idx="73">
                  <c:v>143</c:v>
                </c:pt>
                <c:pt idx="74">
                  <c:v>144</c:v>
                </c:pt>
                <c:pt idx="75">
                  <c:v>145</c:v>
                </c:pt>
                <c:pt idx="76">
                  <c:v>146</c:v>
                </c:pt>
                <c:pt idx="77">
                  <c:v>147</c:v>
                </c:pt>
                <c:pt idx="78">
                  <c:v>148</c:v>
                </c:pt>
                <c:pt idx="79">
                  <c:v>149</c:v>
                </c:pt>
                <c:pt idx="80">
                  <c:v>150</c:v>
                </c:pt>
                <c:pt idx="81">
                  <c:v>151</c:v>
                </c:pt>
                <c:pt idx="82">
                  <c:v>152</c:v>
                </c:pt>
                <c:pt idx="83">
                  <c:v>153</c:v>
                </c:pt>
                <c:pt idx="84">
                  <c:v>154</c:v>
                </c:pt>
                <c:pt idx="85">
                  <c:v>155</c:v>
                </c:pt>
                <c:pt idx="86">
                  <c:v>156</c:v>
                </c:pt>
                <c:pt idx="87">
                  <c:v>157</c:v>
                </c:pt>
                <c:pt idx="88">
                  <c:v>158</c:v>
                </c:pt>
                <c:pt idx="89">
                  <c:v>159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164</c:v>
                </c:pt>
                <c:pt idx="95">
                  <c:v>165</c:v>
                </c:pt>
                <c:pt idx="96">
                  <c:v>166</c:v>
                </c:pt>
                <c:pt idx="97">
                  <c:v>167</c:v>
                </c:pt>
                <c:pt idx="98">
                  <c:v>168</c:v>
                </c:pt>
                <c:pt idx="99">
                  <c:v>169</c:v>
                </c:pt>
                <c:pt idx="100">
                  <c:v>170</c:v>
                </c:pt>
              </c:numCache>
            </c:numRef>
          </c:xVal>
          <c:yVal>
            <c:numRef>
              <c:f>'Question 2a_3'!$D$4:$D$104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19.000000006286427</c:v>
                </c:pt>
                <c:pt idx="12">
                  <c:v>18.000000006519258</c:v>
                </c:pt>
                <c:pt idx="13">
                  <c:v>17.000000006519258</c:v>
                </c:pt>
                <c:pt idx="14">
                  <c:v>16.000000006519258</c:v>
                </c:pt>
                <c:pt idx="15">
                  <c:v>15.000000005587935</c:v>
                </c:pt>
                <c:pt idx="16">
                  <c:v>14.000000005587935</c:v>
                </c:pt>
                <c:pt idx="17">
                  <c:v>13.000000005587935</c:v>
                </c:pt>
                <c:pt idx="18">
                  <c:v>12.000000005587935</c:v>
                </c:pt>
                <c:pt idx="19">
                  <c:v>11.000000007450581</c:v>
                </c:pt>
                <c:pt idx="20">
                  <c:v>10.000000007450581</c:v>
                </c:pt>
                <c:pt idx="21">
                  <c:v>9.0000000074505806</c:v>
                </c:pt>
                <c:pt idx="22">
                  <c:v>8.0000000074505806</c:v>
                </c:pt>
                <c:pt idx="23">
                  <c:v>7.0000000074505806</c:v>
                </c:pt>
                <c:pt idx="24">
                  <c:v>6.0000000074505806</c:v>
                </c:pt>
                <c:pt idx="25">
                  <c:v>5.0000000074505806</c:v>
                </c:pt>
                <c:pt idx="26">
                  <c:v>4.0000000074505806</c:v>
                </c:pt>
                <c:pt idx="27">
                  <c:v>3.0000000074505806</c:v>
                </c:pt>
                <c:pt idx="28">
                  <c:v>2.0000000074505806</c:v>
                </c:pt>
                <c:pt idx="29">
                  <c:v>1.0000000074505806</c:v>
                </c:pt>
                <c:pt idx="30">
                  <c:v>7.4505805969238281E-9</c:v>
                </c:pt>
                <c:pt idx="31">
                  <c:v>1.0000000074505806</c:v>
                </c:pt>
                <c:pt idx="32">
                  <c:v>2.0000000074505806</c:v>
                </c:pt>
                <c:pt idx="33">
                  <c:v>3.0000000074505806</c:v>
                </c:pt>
                <c:pt idx="34">
                  <c:v>4.0000000074505806</c:v>
                </c:pt>
                <c:pt idx="35">
                  <c:v>5.0000000074505806</c:v>
                </c:pt>
                <c:pt idx="36">
                  <c:v>6.0000000074505806</c:v>
                </c:pt>
                <c:pt idx="37">
                  <c:v>7.0000000074505806</c:v>
                </c:pt>
                <c:pt idx="38">
                  <c:v>8.0000000074505806</c:v>
                </c:pt>
                <c:pt idx="39">
                  <c:v>9.0000000074505806</c:v>
                </c:pt>
                <c:pt idx="40">
                  <c:v>10.000000007450581</c:v>
                </c:pt>
                <c:pt idx="41">
                  <c:v>11.000000007450581</c:v>
                </c:pt>
                <c:pt idx="42">
                  <c:v>12.000000007450581</c:v>
                </c:pt>
                <c:pt idx="43">
                  <c:v>13.000000007450581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-6.6938810050487518E-10</c:v>
                </c:pt>
                <c:pt idx="52">
                  <c:v>-6.4028427004814148E-10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8E-41DA-8BFF-1BD7B9744681}"/>
            </c:ext>
          </c:extLst>
        </c:ser>
        <c:ser>
          <c:idx val="0"/>
          <c:order val="1"/>
          <c:marker>
            <c:symbol val="none"/>
          </c:marker>
          <c:xVal>
            <c:numRef>
              <c:f>'Question 2a_3'!$A$4:$A$104</c:f>
              <c:numCache>
                <c:formatCode>General</c:formatCode>
                <c:ptCount val="10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  <c:pt idx="61">
                  <c:v>131</c:v>
                </c:pt>
                <c:pt idx="62">
                  <c:v>132</c:v>
                </c:pt>
                <c:pt idx="63">
                  <c:v>133</c:v>
                </c:pt>
                <c:pt idx="64">
                  <c:v>134</c:v>
                </c:pt>
                <c:pt idx="65">
                  <c:v>135</c:v>
                </c:pt>
                <c:pt idx="66">
                  <c:v>136</c:v>
                </c:pt>
                <c:pt idx="67">
                  <c:v>137</c:v>
                </c:pt>
                <c:pt idx="68">
                  <c:v>138</c:v>
                </c:pt>
                <c:pt idx="69">
                  <c:v>139</c:v>
                </c:pt>
                <c:pt idx="70">
                  <c:v>140</c:v>
                </c:pt>
                <c:pt idx="71">
                  <c:v>141</c:v>
                </c:pt>
                <c:pt idx="72">
                  <c:v>142</c:v>
                </c:pt>
                <c:pt idx="73">
                  <c:v>143</c:v>
                </c:pt>
                <c:pt idx="74">
                  <c:v>144</c:v>
                </c:pt>
                <c:pt idx="75">
                  <c:v>145</c:v>
                </c:pt>
                <c:pt idx="76">
                  <c:v>146</c:v>
                </c:pt>
                <c:pt idx="77">
                  <c:v>147</c:v>
                </c:pt>
                <c:pt idx="78">
                  <c:v>148</c:v>
                </c:pt>
                <c:pt idx="79">
                  <c:v>149</c:v>
                </c:pt>
                <c:pt idx="80">
                  <c:v>150</c:v>
                </c:pt>
                <c:pt idx="81">
                  <c:v>151</c:v>
                </c:pt>
                <c:pt idx="82">
                  <c:v>152</c:v>
                </c:pt>
                <c:pt idx="83">
                  <c:v>153</c:v>
                </c:pt>
                <c:pt idx="84">
                  <c:v>154</c:v>
                </c:pt>
                <c:pt idx="85">
                  <c:v>155</c:v>
                </c:pt>
                <c:pt idx="86">
                  <c:v>156</c:v>
                </c:pt>
                <c:pt idx="87">
                  <c:v>157</c:v>
                </c:pt>
                <c:pt idx="88">
                  <c:v>158</c:v>
                </c:pt>
                <c:pt idx="89">
                  <c:v>159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164</c:v>
                </c:pt>
                <c:pt idx="95">
                  <c:v>165</c:v>
                </c:pt>
                <c:pt idx="96">
                  <c:v>166</c:v>
                </c:pt>
                <c:pt idx="97">
                  <c:v>167</c:v>
                </c:pt>
                <c:pt idx="98">
                  <c:v>168</c:v>
                </c:pt>
                <c:pt idx="99">
                  <c:v>169</c:v>
                </c:pt>
                <c:pt idx="100">
                  <c:v>170</c:v>
                </c:pt>
              </c:numCache>
            </c:numRef>
          </c:xVal>
          <c:yVal>
            <c:numRef>
              <c:f>'Question 2a_3'!$E$4:$E$104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8E-41DA-8BFF-1BD7B9744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1104"/>
        <c:axId val="109245568"/>
      </c:scatterChart>
      <c:valAx>
        <c:axId val="109231104"/>
        <c:scaling>
          <c:orientation val="minMax"/>
          <c:max val="170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Stock Price on maturity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245568"/>
        <c:crosses val="autoZero"/>
        <c:crossBetween val="midCat"/>
      </c:valAx>
      <c:valAx>
        <c:axId val="1092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231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Replication</a:t>
            </a:r>
            <a:r>
              <a:rPr lang="en-US" baseline="0"/>
              <a:t> Slippage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'Question 2a_3'!$A$4:$A$104</c:f>
              <c:numCache>
                <c:formatCode>General</c:formatCode>
                <c:ptCount val="10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  <c:pt idx="51">
                  <c:v>121</c:v>
                </c:pt>
                <c:pt idx="52">
                  <c:v>122</c:v>
                </c:pt>
                <c:pt idx="53">
                  <c:v>123</c:v>
                </c:pt>
                <c:pt idx="54">
                  <c:v>124</c:v>
                </c:pt>
                <c:pt idx="55">
                  <c:v>125</c:v>
                </c:pt>
                <c:pt idx="56">
                  <c:v>126</c:v>
                </c:pt>
                <c:pt idx="57">
                  <c:v>127</c:v>
                </c:pt>
                <c:pt idx="58">
                  <c:v>128</c:v>
                </c:pt>
                <c:pt idx="59">
                  <c:v>129</c:v>
                </c:pt>
                <c:pt idx="60">
                  <c:v>130</c:v>
                </c:pt>
                <c:pt idx="61">
                  <c:v>131</c:v>
                </c:pt>
                <c:pt idx="62">
                  <c:v>132</c:v>
                </c:pt>
                <c:pt idx="63">
                  <c:v>133</c:v>
                </c:pt>
                <c:pt idx="64">
                  <c:v>134</c:v>
                </c:pt>
                <c:pt idx="65">
                  <c:v>135</c:v>
                </c:pt>
                <c:pt idx="66">
                  <c:v>136</c:v>
                </c:pt>
                <c:pt idx="67">
                  <c:v>137</c:v>
                </c:pt>
                <c:pt idx="68">
                  <c:v>138</c:v>
                </c:pt>
                <c:pt idx="69">
                  <c:v>139</c:v>
                </c:pt>
                <c:pt idx="70">
                  <c:v>140</c:v>
                </c:pt>
                <c:pt idx="71">
                  <c:v>141</c:v>
                </c:pt>
                <c:pt idx="72">
                  <c:v>142</c:v>
                </c:pt>
                <c:pt idx="73">
                  <c:v>143</c:v>
                </c:pt>
                <c:pt idx="74">
                  <c:v>144</c:v>
                </c:pt>
                <c:pt idx="75">
                  <c:v>145</c:v>
                </c:pt>
                <c:pt idx="76">
                  <c:v>146</c:v>
                </c:pt>
                <c:pt idx="77">
                  <c:v>147</c:v>
                </c:pt>
                <c:pt idx="78">
                  <c:v>148</c:v>
                </c:pt>
                <c:pt idx="79">
                  <c:v>149</c:v>
                </c:pt>
                <c:pt idx="80">
                  <c:v>150</c:v>
                </c:pt>
                <c:pt idx="81">
                  <c:v>151</c:v>
                </c:pt>
                <c:pt idx="82">
                  <c:v>152</c:v>
                </c:pt>
                <c:pt idx="83">
                  <c:v>153</c:v>
                </c:pt>
                <c:pt idx="84">
                  <c:v>154</c:v>
                </c:pt>
                <c:pt idx="85">
                  <c:v>155</c:v>
                </c:pt>
                <c:pt idx="86">
                  <c:v>156</c:v>
                </c:pt>
                <c:pt idx="87">
                  <c:v>157</c:v>
                </c:pt>
                <c:pt idx="88">
                  <c:v>158</c:v>
                </c:pt>
                <c:pt idx="89">
                  <c:v>159</c:v>
                </c:pt>
                <c:pt idx="90">
                  <c:v>160</c:v>
                </c:pt>
                <c:pt idx="91">
                  <c:v>161</c:v>
                </c:pt>
                <c:pt idx="92">
                  <c:v>162</c:v>
                </c:pt>
                <c:pt idx="93">
                  <c:v>163</c:v>
                </c:pt>
                <c:pt idx="94">
                  <c:v>164</c:v>
                </c:pt>
                <c:pt idx="95">
                  <c:v>165</c:v>
                </c:pt>
                <c:pt idx="96">
                  <c:v>166</c:v>
                </c:pt>
                <c:pt idx="97">
                  <c:v>167</c:v>
                </c:pt>
                <c:pt idx="98">
                  <c:v>168</c:v>
                </c:pt>
                <c:pt idx="99">
                  <c:v>169</c:v>
                </c:pt>
                <c:pt idx="100">
                  <c:v>170</c:v>
                </c:pt>
              </c:numCache>
            </c:numRef>
          </c:xVal>
          <c:yVal>
            <c:numRef>
              <c:f>'Question 2a_3'!$F$4:$F$104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6.28642737865448E-9</c:v>
                </c:pt>
                <c:pt idx="12">
                  <c:v>6.5192580223083496E-9</c:v>
                </c:pt>
                <c:pt idx="13">
                  <c:v>6.5192580223083496E-9</c:v>
                </c:pt>
                <c:pt idx="14">
                  <c:v>6.5192580223083496E-9</c:v>
                </c:pt>
                <c:pt idx="15">
                  <c:v>5.5879354476928711E-9</c:v>
                </c:pt>
                <c:pt idx="16">
                  <c:v>5.5879354476928711E-9</c:v>
                </c:pt>
                <c:pt idx="17">
                  <c:v>5.5879354476928711E-9</c:v>
                </c:pt>
                <c:pt idx="18">
                  <c:v>5.5879354476928711E-9</c:v>
                </c:pt>
                <c:pt idx="19">
                  <c:v>7.4505805969238281E-9</c:v>
                </c:pt>
                <c:pt idx="20">
                  <c:v>7.4505805969238281E-9</c:v>
                </c:pt>
                <c:pt idx="21">
                  <c:v>7.4505805969238281E-9</c:v>
                </c:pt>
                <c:pt idx="22">
                  <c:v>7.4505805969238281E-9</c:v>
                </c:pt>
                <c:pt idx="23">
                  <c:v>7.4505805969238281E-9</c:v>
                </c:pt>
                <c:pt idx="24">
                  <c:v>7.4505805969238281E-9</c:v>
                </c:pt>
                <c:pt idx="25">
                  <c:v>7.4505805969238281E-9</c:v>
                </c:pt>
                <c:pt idx="26">
                  <c:v>7.4505805969238281E-9</c:v>
                </c:pt>
                <c:pt idx="27">
                  <c:v>7.4505805969238281E-9</c:v>
                </c:pt>
                <c:pt idx="28">
                  <c:v>7.4505805969238281E-9</c:v>
                </c:pt>
                <c:pt idx="29">
                  <c:v>7.4505805969238281E-9</c:v>
                </c:pt>
                <c:pt idx="30">
                  <c:v>7.4505805969238281E-9</c:v>
                </c:pt>
                <c:pt idx="31">
                  <c:v>7.4505805969238281E-9</c:v>
                </c:pt>
                <c:pt idx="32">
                  <c:v>7.4505805969238281E-9</c:v>
                </c:pt>
                <c:pt idx="33">
                  <c:v>7.4505805969238281E-9</c:v>
                </c:pt>
                <c:pt idx="34">
                  <c:v>7.4505805969238281E-9</c:v>
                </c:pt>
                <c:pt idx="35">
                  <c:v>7.4505805969238281E-9</c:v>
                </c:pt>
                <c:pt idx="36">
                  <c:v>7.4505805969238281E-9</c:v>
                </c:pt>
                <c:pt idx="37">
                  <c:v>7.4505805969238281E-9</c:v>
                </c:pt>
                <c:pt idx="38">
                  <c:v>7.4505805969238281E-9</c:v>
                </c:pt>
                <c:pt idx="39">
                  <c:v>7.4505805969238281E-9</c:v>
                </c:pt>
                <c:pt idx="40">
                  <c:v>7.4505805969238281E-9</c:v>
                </c:pt>
                <c:pt idx="41">
                  <c:v>7.4505805969238281E-9</c:v>
                </c:pt>
                <c:pt idx="42">
                  <c:v>7.4505805969238281E-9</c:v>
                </c:pt>
                <c:pt idx="43">
                  <c:v>7.4505805969238281E-9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-6.6938810050487518E-10</c:v>
                </c:pt>
                <c:pt idx="52">
                  <c:v>-6.4028427004814148E-10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0-4DE1-AE20-877919D19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1104"/>
        <c:axId val="109245568"/>
      </c:scatterChart>
      <c:valAx>
        <c:axId val="109231104"/>
        <c:scaling>
          <c:orientation val="minMax"/>
          <c:max val="170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on 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5568"/>
        <c:crosses val="autoZero"/>
        <c:crossBetween val="midCat"/>
      </c:valAx>
      <c:valAx>
        <c:axId val="1092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110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2a_3'!$AK$4</c:f>
              <c:strCache>
                <c:ptCount val="1"/>
                <c:pt idx="0">
                  <c:v>payoff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2a_3'!$AJ$5:$AJ$128</c:f>
              <c:numCache>
                <c:formatCode>General</c:formatCode>
                <c:ptCount val="1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</c:numCache>
            </c:numRef>
          </c:xVal>
          <c:yVal>
            <c:numRef>
              <c:f>'Question 2a_3'!$AK$5:$AK$128</c:f>
              <c:numCache>
                <c:formatCode>General</c:formatCode>
                <c:ptCount val="1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</c:v>
                </c:pt>
                <c:pt idx="7">
                  <c:v>76</c:v>
                </c:pt>
                <c:pt idx="8">
                  <c:v>136</c:v>
                </c:pt>
                <c:pt idx="9">
                  <c:v>204</c:v>
                </c:pt>
                <c:pt idx="10">
                  <c:v>280</c:v>
                </c:pt>
                <c:pt idx="11">
                  <c:v>364</c:v>
                </c:pt>
                <c:pt idx="12">
                  <c:v>456</c:v>
                </c:pt>
                <c:pt idx="13">
                  <c:v>556</c:v>
                </c:pt>
                <c:pt idx="14">
                  <c:v>664</c:v>
                </c:pt>
                <c:pt idx="15">
                  <c:v>780</c:v>
                </c:pt>
                <c:pt idx="16">
                  <c:v>904</c:v>
                </c:pt>
                <c:pt idx="17">
                  <c:v>1036</c:v>
                </c:pt>
                <c:pt idx="18">
                  <c:v>1176</c:v>
                </c:pt>
                <c:pt idx="19">
                  <c:v>1324</c:v>
                </c:pt>
                <c:pt idx="20">
                  <c:v>1480</c:v>
                </c:pt>
                <c:pt idx="21">
                  <c:v>1644</c:v>
                </c:pt>
                <c:pt idx="22">
                  <c:v>1816</c:v>
                </c:pt>
                <c:pt idx="23">
                  <c:v>1996</c:v>
                </c:pt>
                <c:pt idx="24">
                  <c:v>2184</c:v>
                </c:pt>
                <c:pt idx="25">
                  <c:v>2380</c:v>
                </c:pt>
                <c:pt idx="26">
                  <c:v>2584</c:v>
                </c:pt>
                <c:pt idx="27">
                  <c:v>2796</c:v>
                </c:pt>
                <c:pt idx="28">
                  <c:v>3016</c:v>
                </c:pt>
                <c:pt idx="29">
                  <c:v>3244</c:v>
                </c:pt>
                <c:pt idx="30">
                  <c:v>3480</c:v>
                </c:pt>
                <c:pt idx="31">
                  <c:v>3724</c:v>
                </c:pt>
                <c:pt idx="32">
                  <c:v>3976</c:v>
                </c:pt>
                <c:pt idx="33">
                  <c:v>4236</c:v>
                </c:pt>
                <c:pt idx="34">
                  <c:v>4504</c:v>
                </c:pt>
                <c:pt idx="35">
                  <c:v>4780</c:v>
                </c:pt>
                <c:pt idx="36">
                  <c:v>5064</c:v>
                </c:pt>
                <c:pt idx="37">
                  <c:v>5356</c:v>
                </c:pt>
                <c:pt idx="38">
                  <c:v>5656</c:v>
                </c:pt>
                <c:pt idx="39">
                  <c:v>5964</c:v>
                </c:pt>
                <c:pt idx="40">
                  <c:v>6280</c:v>
                </c:pt>
                <c:pt idx="41">
                  <c:v>6604</c:v>
                </c:pt>
                <c:pt idx="42">
                  <c:v>6936</c:v>
                </c:pt>
                <c:pt idx="43">
                  <c:v>7276</c:v>
                </c:pt>
                <c:pt idx="44">
                  <c:v>7624</c:v>
                </c:pt>
                <c:pt idx="45">
                  <c:v>7980</c:v>
                </c:pt>
                <c:pt idx="46">
                  <c:v>8344</c:v>
                </c:pt>
                <c:pt idx="47">
                  <c:v>8716</c:v>
                </c:pt>
                <c:pt idx="48">
                  <c:v>9096</c:v>
                </c:pt>
                <c:pt idx="49">
                  <c:v>9484</c:v>
                </c:pt>
                <c:pt idx="50">
                  <c:v>9880</c:v>
                </c:pt>
                <c:pt idx="51">
                  <c:v>10284</c:v>
                </c:pt>
                <c:pt idx="52">
                  <c:v>10696</c:v>
                </c:pt>
                <c:pt idx="53">
                  <c:v>11116</c:v>
                </c:pt>
                <c:pt idx="54">
                  <c:v>11544</c:v>
                </c:pt>
                <c:pt idx="55">
                  <c:v>11980</c:v>
                </c:pt>
                <c:pt idx="56">
                  <c:v>12424</c:v>
                </c:pt>
                <c:pt idx="57">
                  <c:v>12876</c:v>
                </c:pt>
                <c:pt idx="58">
                  <c:v>13336</c:v>
                </c:pt>
                <c:pt idx="59">
                  <c:v>13804</c:v>
                </c:pt>
                <c:pt idx="60">
                  <c:v>14280</c:v>
                </c:pt>
                <c:pt idx="61">
                  <c:v>14764</c:v>
                </c:pt>
                <c:pt idx="62">
                  <c:v>15256</c:v>
                </c:pt>
                <c:pt idx="63">
                  <c:v>15756</c:v>
                </c:pt>
                <c:pt idx="64">
                  <c:v>16264</c:v>
                </c:pt>
                <c:pt idx="65">
                  <c:v>16780</c:v>
                </c:pt>
                <c:pt idx="66">
                  <c:v>17304</c:v>
                </c:pt>
                <c:pt idx="67">
                  <c:v>17836</c:v>
                </c:pt>
                <c:pt idx="68">
                  <c:v>18376</c:v>
                </c:pt>
                <c:pt idx="69">
                  <c:v>18924</c:v>
                </c:pt>
                <c:pt idx="70">
                  <c:v>19480</c:v>
                </c:pt>
                <c:pt idx="71">
                  <c:v>20044</c:v>
                </c:pt>
                <c:pt idx="72">
                  <c:v>20616</c:v>
                </c:pt>
                <c:pt idx="73">
                  <c:v>21196</c:v>
                </c:pt>
                <c:pt idx="74">
                  <c:v>21784</c:v>
                </c:pt>
                <c:pt idx="75">
                  <c:v>22380</c:v>
                </c:pt>
                <c:pt idx="76">
                  <c:v>22984</c:v>
                </c:pt>
                <c:pt idx="77">
                  <c:v>23596</c:v>
                </c:pt>
                <c:pt idx="78">
                  <c:v>24216</c:v>
                </c:pt>
                <c:pt idx="79">
                  <c:v>24844</c:v>
                </c:pt>
                <c:pt idx="80">
                  <c:v>25480</c:v>
                </c:pt>
                <c:pt idx="81">
                  <c:v>26124</c:v>
                </c:pt>
                <c:pt idx="82">
                  <c:v>26776</c:v>
                </c:pt>
                <c:pt idx="83">
                  <c:v>27436</c:v>
                </c:pt>
                <c:pt idx="84">
                  <c:v>28104</c:v>
                </c:pt>
                <c:pt idx="85">
                  <c:v>28780</c:v>
                </c:pt>
                <c:pt idx="86">
                  <c:v>29464</c:v>
                </c:pt>
                <c:pt idx="87">
                  <c:v>30156</c:v>
                </c:pt>
                <c:pt idx="88">
                  <c:v>30856</c:v>
                </c:pt>
                <c:pt idx="89">
                  <c:v>31564</c:v>
                </c:pt>
                <c:pt idx="90">
                  <c:v>32280</c:v>
                </c:pt>
                <c:pt idx="91">
                  <c:v>33004</c:v>
                </c:pt>
                <c:pt idx="92">
                  <c:v>33736</c:v>
                </c:pt>
                <c:pt idx="93">
                  <c:v>34476</c:v>
                </c:pt>
                <c:pt idx="94">
                  <c:v>35224</c:v>
                </c:pt>
                <c:pt idx="95">
                  <c:v>35980</c:v>
                </c:pt>
                <c:pt idx="96">
                  <c:v>36744</c:v>
                </c:pt>
                <c:pt idx="97">
                  <c:v>37516</c:v>
                </c:pt>
                <c:pt idx="98">
                  <c:v>38296</c:v>
                </c:pt>
                <c:pt idx="99">
                  <c:v>39084</c:v>
                </c:pt>
                <c:pt idx="100">
                  <c:v>39880</c:v>
                </c:pt>
                <c:pt idx="101">
                  <c:v>40684</c:v>
                </c:pt>
                <c:pt idx="102">
                  <c:v>41496</c:v>
                </c:pt>
                <c:pt idx="103">
                  <c:v>42316</c:v>
                </c:pt>
                <c:pt idx="104">
                  <c:v>43144</c:v>
                </c:pt>
                <c:pt idx="105">
                  <c:v>43980</c:v>
                </c:pt>
                <c:pt idx="106">
                  <c:v>44824</c:v>
                </c:pt>
                <c:pt idx="107">
                  <c:v>45676</c:v>
                </c:pt>
                <c:pt idx="108">
                  <c:v>46536</c:v>
                </c:pt>
                <c:pt idx="109">
                  <c:v>47404</c:v>
                </c:pt>
                <c:pt idx="110">
                  <c:v>48280</c:v>
                </c:pt>
                <c:pt idx="111">
                  <c:v>49164</c:v>
                </c:pt>
                <c:pt idx="112">
                  <c:v>50056</c:v>
                </c:pt>
                <c:pt idx="113">
                  <c:v>50956</c:v>
                </c:pt>
                <c:pt idx="114">
                  <c:v>51864</c:v>
                </c:pt>
                <c:pt idx="115">
                  <c:v>52780</c:v>
                </c:pt>
                <c:pt idx="116">
                  <c:v>53704</c:v>
                </c:pt>
                <c:pt idx="117">
                  <c:v>54636</c:v>
                </c:pt>
                <c:pt idx="118">
                  <c:v>55576</c:v>
                </c:pt>
                <c:pt idx="119">
                  <c:v>56524</c:v>
                </c:pt>
                <c:pt idx="120">
                  <c:v>57480</c:v>
                </c:pt>
                <c:pt idx="121">
                  <c:v>58444</c:v>
                </c:pt>
                <c:pt idx="122">
                  <c:v>59416</c:v>
                </c:pt>
                <c:pt idx="123">
                  <c:v>60396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B6-431D-BFB5-56588F954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264303"/>
        <c:axId val="1844794191"/>
      </c:scatterChart>
      <c:valAx>
        <c:axId val="185026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794191"/>
        <c:crosses val="autoZero"/>
        <c:crossBetween val="midCat"/>
      </c:valAx>
      <c:valAx>
        <c:axId val="18447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26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Payoff At Maturity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'Question 3b'!$A$4:$A$104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'Question 3b'!$F$4:$F$104</c:f>
              <c:numCache>
                <c:formatCode>General</c:formatCode>
                <c:ptCount val="101"/>
                <c:pt idx="0">
                  <c:v>40</c:v>
                </c:pt>
                <c:pt idx="1">
                  <c:v>39</c:v>
                </c:pt>
                <c:pt idx="2">
                  <c:v>38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34</c:v>
                </c:pt>
                <c:pt idx="7">
                  <c:v>33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29</c:v>
                </c:pt>
                <c:pt idx="12">
                  <c:v>28</c:v>
                </c:pt>
                <c:pt idx="13">
                  <c:v>27</c:v>
                </c:pt>
                <c:pt idx="14">
                  <c:v>26</c:v>
                </c:pt>
                <c:pt idx="15">
                  <c:v>25</c:v>
                </c:pt>
                <c:pt idx="16">
                  <c:v>24</c:v>
                </c:pt>
                <c:pt idx="17">
                  <c:v>23</c:v>
                </c:pt>
                <c:pt idx="18">
                  <c:v>22</c:v>
                </c:pt>
                <c:pt idx="19">
                  <c:v>21</c:v>
                </c:pt>
                <c:pt idx="20">
                  <c:v>20</c:v>
                </c:pt>
                <c:pt idx="21">
                  <c:v>19</c:v>
                </c:pt>
                <c:pt idx="22">
                  <c:v>18</c:v>
                </c:pt>
                <c:pt idx="23">
                  <c:v>17</c:v>
                </c:pt>
                <c:pt idx="24">
                  <c:v>16</c:v>
                </c:pt>
                <c:pt idx="25">
                  <c:v>15</c:v>
                </c:pt>
                <c:pt idx="26">
                  <c:v>14</c:v>
                </c:pt>
                <c:pt idx="27">
                  <c:v>13</c:v>
                </c:pt>
                <c:pt idx="28">
                  <c:v>12</c:v>
                </c:pt>
                <c:pt idx="29">
                  <c:v>11</c:v>
                </c:pt>
                <c:pt idx="30">
                  <c:v>10</c:v>
                </c:pt>
                <c:pt idx="31">
                  <c:v>9</c:v>
                </c:pt>
                <c:pt idx="32">
                  <c:v>8</c:v>
                </c:pt>
                <c:pt idx="33">
                  <c:v>7</c:v>
                </c:pt>
                <c:pt idx="34">
                  <c:v>6</c:v>
                </c:pt>
                <c:pt idx="35">
                  <c:v>5</c:v>
                </c:pt>
                <c:pt idx="36">
                  <c:v>4</c:v>
                </c:pt>
                <c:pt idx="37">
                  <c:v>3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  <c:pt idx="79">
                  <c:v>19</c:v>
                </c:pt>
                <c:pt idx="80">
                  <c:v>20</c:v>
                </c:pt>
                <c:pt idx="81">
                  <c:v>21</c:v>
                </c:pt>
                <c:pt idx="82">
                  <c:v>22</c:v>
                </c:pt>
                <c:pt idx="83">
                  <c:v>23</c:v>
                </c:pt>
                <c:pt idx="84">
                  <c:v>24</c:v>
                </c:pt>
                <c:pt idx="85">
                  <c:v>25</c:v>
                </c:pt>
                <c:pt idx="86">
                  <c:v>26</c:v>
                </c:pt>
                <c:pt idx="87">
                  <c:v>27</c:v>
                </c:pt>
                <c:pt idx="88">
                  <c:v>28</c:v>
                </c:pt>
                <c:pt idx="89">
                  <c:v>29</c:v>
                </c:pt>
                <c:pt idx="90">
                  <c:v>30</c:v>
                </c:pt>
                <c:pt idx="91">
                  <c:v>31</c:v>
                </c:pt>
                <c:pt idx="92">
                  <c:v>32</c:v>
                </c:pt>
                <c:pt idx="93">
                  <c:v>33</c:v>
                </c:pt>
                <c:pt idx="94">
                  <c:v>34</c:v>
                </c:pt>
                <c:pt idx="95">
                  <c:v>35</c:v>
                </c:pt>
                <c:pt idx="96">
                  <c:v>36</c:v>
                </c:pt>
                <c:pt idx="97">
                  <c:v>37</c:v>
                </c:pt>
                <c:pt idx="98">
                  <c:v>38</c:v>
                </c:pt>
                <c:pt idx="99">
                  <c:v>39</c:v>
                </c:pt>
                <c:pt idx="10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BF-46BB-BD6C-81F47A25A9EF}"/>
            </c:ext>
          </c:extLst>
        </c:ser>
        <c:ser>
          <c:idx val="0"/>
          <c:order val="1"/>
          <c:marker>
            <c:symbol val="none"/>
          </c:marker>
          <c:xVal>
            <c:numRef>
              <c:f>'Question 3b'!$A$4:$A$104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'Question 3b'!$G$4:$G$104</c:f>
              <c:numCache>
                <c:formatCode>_("$"* #,##0.00_);_("$"* \(#,##0.00\);_("$"* "-"??_);_(@_)</c:formatCode>
                <c:ptCount val="101"/>
                <c:pt idx="0">
                  <c:v>40</c:v>
                </c:pt>
                <c:pt idx="1">
                  <c:v>39</c:v>
                </c:pt>
                <c:pt idx="2">
                  <c:v>38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34</c:v>
                </c:pt>
                <c:pt idx="7">
                  <c:v>33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29</c:v>
                </c:pt>
                <c:pt idx="12">
                  <c:v>28</c:v>
                </c:pt>
                <c:pt idx="13">
                  <c:v>27</c:v>
                </c:pt>
                <c:pt idx="14">
                  <c:v>26</c:v>
                </c:pt>
                <c:pt idx="15">
                  <c:v>25</c:v>
                </c:pt>
                <c:pt idx="16">
                  <c:v>24</c:v>
                </c:pt>
                <c:pt idx="17">
                  <c:v>23</c:v>
                </c:pt>
                <c:pt idx="18">
                  <c:v>22</c:v>
                </c:pt>
                <c:pt idx="19">
                  <c:v>21</c:v>
                </c:pt>
                <c:pt idx="20">
                  <c:v>20</c:v>
                </c:pt>
                <c:pt idx="21">
                  <c:v>19</c:v>
                </c:pt>
                <c:pt idx="22">
                  <c:v>18</c:v>
                </c:pt>
                <c:pt idx="23">
                  <c:v>17</c:v>
                </c:pt>
                <c:pt idx="24">
                  <c:v>16</c:v>
                </c:pt>
                <c:pt idx="25">
                  <c:v>15</c:v>
                </c:pt>
                <c:pt idx="26">
                  <c:v>14</c:v>
                </c:pt>
                <c:pt idx="27">
                  <c:v>13</c:v>
                </c:pt>
                <c:pt idx="28">
                  <c:v>12</c:v>
                </c:pt>
                <c:pt idx="29">
                  <c:v>11</c:v>
                </c:pt>
                <c:pt idx="30">
                  <c:v>10</c:v>
                </c:pt>
                <c:pt idx="31">
                  <c:v>9</c:v>
                </c:pt>
                <c:pt idx="32">
                  <c:v>8</c:v>
                </c:pt>
                <c:pt idx="33">
                  <c:v>7</c:v>
                </c:pt>
                <c:pt idx="34">
                  <c:v>6</c:v>
                </c:pt>
                <c:pt idx="35">
                  <c:v>5</c:v>
                </c:pt>
                <c:pt idx="36">
                  <c:v>4</c:v>
                </c:pt>
                <c:pt idx="37">
                  <c:v>3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  <c:pt idx="79">
                  <c:v>19</c:v>
                </c:pt>
                <c:pt idx="80">
                  <c:v>20</c:v>
                </c:pt>
                <c:pt idx="81">
                  <c:v>21</c:v>
                </c:pt>
                <c:pt idx="82">
                  <c:v>22</c:v>
                </c:pt>
                <c:pt idx="83">
                  <c:v>23</c:v>
                </c:pt>
                <c:pt idx="84">
                  <c:v>24</c:v>
                </c:pt>
                <c:pt idx="85">
                  <c:v>25</c:v>
                </c:pt>
                <c:pt idx="86">
                  <c:v>26</c:v>
                </c:pt>
                <c:pt idx="87">
                  <c:v>27</c:v>
                </c:pt>
                <c:pt idx="88">
                  <c:v>28</c:v>
                </c:pt>
                <c:pt idx="89">
                  <c:v>29</c:v>
                </c:pt>
                <c:pt idx="90">
                  <c:v>30</c:v>
                </c:pt>
                <c:pt idx="91">
                  <c:v>31</c:v>
                </c:pt>
                <c:pt idx="92">
                  <c:v>32</c:v>
                </c:pt>
                <c:pt idx="93">
                  <c:v>33</c:v>
                </c:pt>
                <c:pt idx="94">
                  <c:v>34</c:v>
                </c:pt>
                <c:pt idx="95">
                  <c:v>35</c:v>
                </c:pt>
                <c:pt idx="96">
                  <c:v>36</c:v>
                </c:pt>
                <c:pt idx="97">
                  <c:v>37</c:v>
                </c:pt>
                <c:pt idx="98">
                  <c:v>38</c:v>
                </c:pt>
                <c:pt idx="99">
                  <c:v>39</c:v>
                </c:pt>
                <c:pt idx="10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BF-46BB-BD6C-81F47A25A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1104"/>
        <c:axId val="109245568"/>
      </c:scatterChart>
      <c:valAx>
        <c:axId val="109231104"/>
        <c:scaling>
          <c:orientation val="minMax"/>
          <c:max val="17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Stock Price on maturity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245568"/>
        <c:crosses val="autoZero"/>
        <c:crossBetween val="midCat"/>
      </c:valAx>
      <c:valAx>
        <c:axId val="1092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231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Replication</a:t>
            </a:r>
            <a:r>
              <a:rPr lang="en-US" baseline="0"/>
              <a:t> Slippage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'Question 3b'!$A$4:$A$104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xVal>
          <c:yVal>
            <c:numRef>
              <c:f>'Question 3b'!$H$4:$H$104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41-4E3D-B78C-95C8F7942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1104"/>
        <c:axId val="109245568"/>
      </c:scatterChart>
      <c:valAx>
        <c:axId val="109231104"/>
        <c:scaling>
          <c:orientation val="minMax"/>
          <c:max val="170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 Price on 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5568"/>
        <c:crosses val="autoZero"/>
        <c:crossBetween val="midCat"/>
      </c:valAx>
      <c:valAx>
        <c:axId val="1092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110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3b'!$AM$4</c:f>
              <c:strCache>
                <c:ptCount val="1"/>
                <c:pt idx="0">
                  <c:v>payoff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3b'!$AL$5:$AL$128</c:f>
              <c:numCache>
                <c:formatCode>General</c:formatCode>
                <c:ptCount val="1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</c:numCache>
            </c:numRef>
          </c:xVal>
          <c:yVal>
            <c:numRef>
              <c:f>'Question 3b'!$AM$5:$AM$128</c:f>
              <c:numCache>
                <c:formatCode>General</c:formatCode>
                <c:ptCount val="1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</c:v>
                </c:pt>
                <c:pt idx="7">
                  <c:v>76</c:v>
                </c:pt>
                <c:pt idx="8">
                  <c:v>136</c:v>
                </c:pt>
                <c:pt idx="9">
                  <c:v>204</c:v>
                </c:pt>
                <c:pt idx="10">
                  <c:v>280</c:v>
                </c:pt>
                <c:pt idx="11">
                  <c:v>364</c:v>
                </c:pt>
                <c:pt idx="12">
                  <c:v>456</c:v>
                </c:pt>
                <c:pt idx="13">
                  <c:v>556</c:v>
                </c:pt>
                <c:pt idx="14">
                  <c:v>664</c:v>
                </c:pt>
                <c:pt idx="15">
                  <c:v>780</c:v>
                </c:pt>
                <c:pt idx="16">
                  <c:v>904</c:v>
                </c:pt>
                <c:pt idx="17">
                  <c:v>1036</c:v>
                </c:pt>
                <c:pt idx="18">
                  <c:v>1176</c:v>
                </c:pt>
                <c:pt idx="19">
                  <c:v>1324</c:v>
                </c:pt>
                <c:pt idx="20">
                  <c:v>1480</c:v>
                </c:pt>
                <c:pt idx="21">
                  <c:v>1644</c:v>
                </c:pt>
                <c:pt idx="22">
                  <c:v>1816</c:v>
                </c:pt>
                <c:pt idx="23">
                  <c:v>1996</c:v>
                </c:pt>
                <c:pt idx="24">
                  <c:v>2184</c:v>
                </c:pt>
                <c:pt idx="25">
                  <c:v>2380</c:v>
                </c:pt>
                <c:pt idx="26">
                  <c:v>2584</c:v>
                </c:pt>
                <c:pt idx="27">
                  <c:v>2796</c:v>
                </c:pt>
                <c:pt idx="28">
                  <c:v>3016</c:v>
                </c:pt>
                <c:pt idx="29">
                  <c:v>3244</c:v>
                </c:pt>
                <c:pt idx="30">
                  <c:v>3480</c:v>
                </c:pt>
                <c:pt idx="31">
                  <c:v>3724</c:v>
                </c:pt>
                <c:pt idx="32">
                  <c:v>3976</c:v>
                </c:pt>
                <c:pt idx="33">
                  <c:v>4236</c:v>
                </c:pt>
                <c:pt idx="34">
                  <c:v>4504</c:v>
                </c:pt>
                <c:pt idx="35">
                  <c:v>4780</c:v>
                </c:pt>
                <c:pt idx="36">
                  <c:v>5064</c:v>
                </c:pt>
                <c:pt idx="37">
                  <c:v>5356</c:v>
                </c:pt>
                <c:pt idx="38">
                  <c:v>5656</c:v>
                </c:pt>
                <c:pt idx="39">
                  <c:v>5964</c:v>
                </c:pt>
                <c:pt idx="40">
                  <c:v>6280</c:v>
                </c:pt>
                <c:pt idx="41">
                  <c:v>6604</c:v>
                </c:pt>
                <c:pt idx="42">
                  <c:v>6936</c:v>
                </c:pt>
                <c:pt idx="43">
                  <c:v>7276</c:v>
                </c:pt>
                <c:pt idx="44">
                  <c:v>7624</c:v>
                </c:pt>
                <c:pt idx="45">
                  <c:v>7980</c:v>
                </c:pt>
                <c:pt idx="46">
                  <c:v>8344</c:v>
                </c:pt>
                <c:pt idx="47">
                  <c:v>8716</c:v>
                </c:pt>
                <c:pt idx="48">
                  <c:v>9096</c:v>
                </c:pt>
                <c:pt idx="49">
                  <c:v>9484</c:v>
                </c:pt>
                <c:pt idx="50">
                  <c:v>9880</c:v>
                </c:pt>
                <c:pt idx="51">
                  <c:v>10284</c:v>
                </c:pt>
                <c:pt idx="52">
                  <c:v>10696</c:v>
                </c:pt>
                <c:pt idx="53">
                  <c:v>11116</c:v>
                </c:pt>
                <c:pt idx="54">
                  <c:v>11544</c:v>
                </c:pt>
                <c:pt idx="55">
                  <c:v>11980</c:v>
                </c:pt>
                <c:pt idx="56">
                  <c:v>12424</c:v>
                </c:pt>
                <c:pt idx="57">
                  <c:v>12876</c:v>
                </c:pt>
                <c:pt idx="58">
                  <c:v>13336</c:v>
                </c:pt>
                <c:pt idx="59">
                  <c:v>13804</c:v>
                </c:pt>
                <c:pt idx="60">
                  <c:v>14280</c:v>
                </c:pt>
                <c:pt idx="61">
                  <c:v>14764</c:v>
                </c:pt>
                <c:pt idx="62">
                  <c:v>15256</c:v>
                </c:pt>
                <c:pt idx="63">
                  <c:v>15756</c:v>
                </c:pt>
                <c:pt idx="64">
                  <c:v>16264</c:v>
                </c:pt>
                <c:pt idx="65">
                  <c:v>16780</c:v>
                </c:pt>
                <c:pt idx="66">
                  <c:v>17304</c:v>
                </c:pt>
                <c:pt idx="67">
                  <c:v>17836</c:v>
                </c:pt>
                <c:pt idx="68">
                  <c:v>18376</c:v>
                </c:pt>
                <c:pt idx="69">
                  <c:v>18924</c:v>
                </c:pt>
                <c:pt idx="70">
                  <c:v>19480</c:v>
                </c:pt>
                <c:pt idx="71">
                  <c:v>20044</c:v>
                </c:pt>
                <c:pt idx="72">
                  <c:v>20616</c:v>
                </c:pt>
                <c:pt idx="73">
                  <c:v>21196</c:v>
                </c:pt>
                <c:pt idx="74">
                  <c:v>21784</c:v>
                </c:pt>
                <c:pt idx="75">
                  <c:v>22380</c:v>
                </c:pt>
                <c:pt idx="76">
                  <c:v>22984</c:v>
                </c:pt>
                <c:pt idx="77">
                  <c:v>23596</c:v>
                </c:pt>
                <c:pt idx="78">
                  <c:v>24216</c:v>
                </c:pt>
                <c:pt idx="79">
                  <c:v>24844</c:v>
                </c:pt>
                <c:pt idx="80">
                  <c:v>25480</c:v>
                </c:pt>
                <c:pt idx="81">
                  <c:v>26124</c:v>
                </c:pt>
                <c:pt idx="82">
                  <c:v>26776</c:v>
                </c:pt>
                <c:pt idx="83">
                  <c:v>27436</c:v>
                </c:pt>
                <c:pt idx="84">
                  <c:v>28104</c:v>
                </c:pt>
                <c:pt idx="85">
                  <c:v>28780</c:v>
                </c:pt>
                <c:pt idx="86">
                  <c:v>29464</c:v>
                </c:pt>
                <c:pt idx="87">
                  <c:v>30156</c:v>
                </c:pt>
                <c:pt idx="88">
                  <c:v>30856</c:v>
                </c:pt>
                <c:pt idx="89">
                  <c:v>31564</c:v>
                </c:pt>
                <c:pt idx="90">
                  <c:v>32280</c:v>
                </c:pt>
                <c:pt idx="91">
                  <c:v>33004</c:v>
                </c:pt>
                <c:pt idx="92">
                  <c:v>33736</c:v>
                </c:pt>
                <c:pt idx="93">
                  <c:v>34476</c:v>
                </c:pt>
                <c:pt idx="94">
                  <c:v>35224</c:v>
                </c:pt>
                <c:pt idx="95">
                  <c:v>35980</c:v>
                </c:pt>
                <c:pt idx="96">
                  <c:v>36744</c:v>
                </c:pt>
                <c:pt idx="97">
                  <c:v>37516</c:v>
                </c:pt>
                <c:pt idx="98">
                  <c:v>38296</c:v>
                </c:pt>
                <c:pt idx="99">
                  <c:v>39084</c:v>
                </c:pt>
                <c:pt idx="100">
                  <c:v>39880</c:v>
                </c:pt>
                <c:pt idx="101">
                  <c:v>40684</c:v>
                </c:pt>
                <c:pt idx="102">
                  <c:v>41496</c:v>
                </c:pt>
                <c:pt idx="103">
                  <c:v>42316</c:v>
                </c:pt>
                <c:pt idx="104">
                  <c:v>43144</c:v>
                </c:pt>
                <c:pt idx="105">
                  <c:v>43980</c:v>
                </c:pt>
                <c:pt idx="106">
                  <c:v>44824</c:v>
                </c:pt>
                <c:pt idx="107">
                  <c:v>45676</c:v>
                </c:pt>
                <c:pt idx="108">
                  <c:v>46536</c:v>
                </c:pt>
                <c:pt idx="109">
                  <c:v>47404</c:v>
                </c:pt>
                <c:pt idx="110">
                  <c:v>48280</c:v>
                </c:pt>
                <c:pt idx="111">
                  <c:v>49164</c:v>
                </c:pt>
                <c:pt idx="112">
                  <c:v>50056</c:v>
                </c:pt>
                <c:pt idx="113">
                  <c:v>50956</c:v>
                </c:pt>
                <c:pt idx="114">
                  <c:v>51864</c:v>
                </c:pt>
                <c:pt idx="115">
                  <c:v>52780</c:v>
                </c:pt>
                <c:pt idx="116">
                  <c:v>53704</c:v>
                </c:pt>
                <c:pt idx="117">
                  <c:v>54636</c:v>
                </c:pt>
                <c:pt idx="118">
                  <c:v>55576</c:v>
                </c:pt>
                <c:pt idx="119">
                  <c:v>56524</c:v>
                </c:pt>
                <c:pt idx="120">
                  <c:v>57480</c:v>
                </c:pt>
                <c:pt idx="121">
                  <c:v>58444</c:v>
                </c:pt>
                <c:pt idx="122">
                  <c:v>59416</c:v>
                </c:pt>
                <c:pt idx="123">
                  <c:v>60396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9B-4F82-A565-99A2FACAE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264303"/>
        <c:axId val="1844794191"/>
      </c:scatterChart>
      <c:valAx>
        <c:axId val="185026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794191"/>
        <c:crosses val="autoZero"/>
        <c:crossBetween val="midCat"/>
      </c:valAx>
      <c:valAx>
        <c:axId val="18447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26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361950</xdr:colOff>
      <xdr:row>0</xdr:row>
      <xdr:rowOff>309705</xdr:rowOff>
    </xdr:from>
    <xdr:to>
      <xdr:col>21</xdr:col>
      <xdr:colOff>202046</xdr:colOff>
      <xdr:row>16</xdr:row>
      <xdr:rowOff>23091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A914C0-C364-41E3-BAAE-C3EBC1490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202045</xdr:colOff>
      <xdr:row>1</xdr:row>
      <xdr:rowOff>23091</xdr:rowOff>
    </xdr:from>
    <xdr:to>
      <xdr:col>28</xdr:col>
      <xdr:colOff>51956</xdr:colOff>
      <xdr:row>16</xdr:row>
      <xdr:rowOff>40410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C456A2-EF11-457F-A95E-562BB08C9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479137</xdr:colOff>
      <xdr:row>110</xdr:row>
      <xdr:rowOff>100446</xdr:rowOff>
    </xdr:from>
    <xdr:to>
      <xdr:col>38</xdr:col>
      <xdr:colOff>565727</xdr:colOff>
      <xdr:row>127</xdr:row>
      <xdr:rowOff>95827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5FA936-A686-432C-9FCA-E9240EFF0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361950</xdr:colOff>
      <xdr:row>0</xdr:row>
      <xdr:rowOff>309705</xdr:rowOff>
    </xdr:from>
    <xdr:to>
      <xdr:col>21</xdr:col>
      <xdr:colOff>202046</xdr:colOff>
      <xdr:row>16</xdr:row>
      <xdr:rowOff>23091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895DA-8C91-4142-ADD8-87810BEB5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202045</xdr:colOff>
      <xdr:row>1</xdr:row>
      <xdr:rowOff>23091</xdr:rowOff>
    </xdr:from>
    <xdr:to>
      <xdr:col>28</xdr:col>
      <xdr:colOff>51956</xdr:colOff>
      <xdr:row>16</xdr:row>
      <xdr:rowOff>40410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60EF3C-EDEB-4CEE-ABA0-9AF3535B0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479137</xdr:colOff>
      <xdr:row>110</xdr:row>
      <xdr:rowOff>100446</xdr:rowOff>
    </xdr:from>
    <xdr:to>
      <xdr:col>38</xdr:col>
      <xdr:colOff>565727</xdr:colOff>
      <xdr:row>127</xdr:row>
      <xdr:rowOff>95827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AE630D-7C7C-4C6A-B875-8E2D72154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0</xdr:row>
      <xdr:rowOff>309705</xdr:rowOff>
    </xdr:from>
    <xdr:to>
      <xdr:col>19</xdr:col>
      <xdr:colOff>202046</xdr:colOff>
      <xdr:row>16</xdr:row>
      <xdr:rowOff>23091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9FC7B-BCB1-4ED9-98EC-A8D49A79A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202045</xdr:colOff>
      <xdr:row>1</xdr:row>
      <xdr:rowOff>23091</xdr:rowOff>
    </xdr:from>
    <xdr:to>
      <xdr:col>26</xdr:col>
      <xdr:colOff>51956</xdr:colOff>
      <xdr:row>16</xdr:row>
      <xdr:rowOff>40410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07AA0-7764-4890-8556-A641ACA7E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479137</xdr:colOff>
      <xdr:row>110</xdr:row>
      <xdr:rowOff>100446</xdr:rowOff>
    </xdr:from>
    <xdr:to>
      <xdr:col>36</xdr:col>
      <xdr:colOff>565727</xdr:colOff>
      <xdr:row>127</xdr:row>
      <xdr:rowOff>95827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E14971-5C12-4B1D-93D8-853635420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587375</xdr:colOff>
      <xdr:row>2</xdr:row>
      <xdr:rowOff>111125</xdr:rowOff>
    </xdr:from>
    <xdr:ext cx="1537409" cy="3480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321E14-0411-4DD4-B9D9-15BFB9EF100D}"/>
                </a:ext>
              </a:extLst>
            </xdr:cNvPr>
            <xdr:cNvSpPr txBox="1"/>
          </xdr:nvSpPr>
          <xdr:spPr>
            <a:xfrm>
              <a:off x="2416175" y="428625"/>
              <a:ext cx="1537409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𝑂𝑝𝑡𝑖𝑜𝑛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𝑣𝑎𝑛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𝑡𝑟𝑢𝑛𝑐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𝑟𝑇</m:t>
                            </m:r>
                          </m:sup>
                        </m:s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𝑃𝑟𝑜𝑏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𝑒𝑥𝑒𝑟𝑐𝑖𝑠𝑒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CA" sz="11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321E14-0411-4DD4-B9D9-15BFB9EF100D}"/>
                </a:ext>
              </a:extLst>
            </xdr:cNvPr>
            <xdr:cNvSpPr txBox="1"/>
          </xdr:nvSpPr>
          <xdr:spPr>
            <a:xfrm>
              <a:off x="2416175" y="428625"/>
              <a:ext cx="1537409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 kern="1200">
                  <a:latin typeface="Cambria Math" panose="02040503050406030204" pitchFamily="18" charset="0"/>
                </a:rPr>
                <a:t>𝑍=〖𝑂𝑝𝑡𝑖𝑜𝑛〗_(𝑣𝑎𝑛 𝑡𝑟𝑢𝑛𝑐)/(𝑒^(−𝑟𝑇) 𝑃𝑟𝑜𝑏(𝑒𝑥𝑒𝑟𝑐𝑖𝑠𝑒))</a:t>
              </a:r>
              <a:endParaRPr lang="en-CA" sz="1100" kern="12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365125</xdr:colOff>
      <xdr:row>2</xdr:row>
      <xdr:rowOff>3175</xdr:rowOff>
    </xdr:from>
    <xdr:ext cx="5125634" cy="3270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0E25FFD-01B1-430F-835C-E0DE24E2FF35}"/>
                </a:ext>
              </a:extLst>
            </xdr:cNvPr>
            <xdr:cNvSpPr txBox="1"/>
          </xdr:nvSpPr>
          <xdr:spPr>
            <a:xfrm>
              <a:off x="974725" y="320675"/>
              <a:ext cx="5125634" cy="327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𝑂𝑝𝑡𝑖𝑜𝑛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𝑣𝑎𝑛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𝑏𝑒𝑠𝑡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𝑐h𝑜𝑖𝑐𝑒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𝑃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𝑣𝑎𝑛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en-CA" sz="1100"/>
                <a:t>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𝑣𝑎𝑛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endParaRPr lang="en-CA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0E25FFD-01B1-430F-835C-E0DE24E2FF35}"/>
                </a:ext>
              </a:extLst>
            </xdr:cNvPr>
            <xdr:cNvSpPr txBox="1"/>
          </xdr:nvSpPr>
          <xdr:spPr>
            <a:xfrm>
              <a:off x="974725" y="320675"/>
              <a:ext cx="5125634" cy="327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〖𝑂𝑝𝑡𝑖𝑜𝑛〗_(𝑣𝑎𝑛 𝑏𝑒𝑠𝑡 𝑐ℎ𝑜𝑖𝑐𝑒)=𝑃_𝑣𝑎𝑛 (𝑋_1)</a:t>
              </a:r>
              <a:r>
                <a:rPr lang="en-CA" sz="1100"/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𝐶_𝑣𝑎𝑛 (𝑋_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CA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361950</xdr:colOff>
      <xdr:row>1</xdr:row>
      <xdr:rowOff>9524</xdr:rowOff>
    </xdr:from>
    <xdr:to>
      <xdr:col>21</xdr:col>
      <xdr:colOff>202046</xdr:colOff>
      <xdr:row>16</xdr:row>
      <xdr:rowOff>40410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E6CF0-8F68-4984-AF77-5F8160AF0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202045</xdr:colOff>
      <xdr:row>1</xdr:row>
      <xdr:rowOff>23091</xdr:rowOff>
    </xdr:from>
    <xdr:to>
      <xdr:col>28</xdr:col>
      <xdr:colOff>51956</xdr:colOff>
      <xdr:row>16</xdr:row>
      <xdr:rowOff>40410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B0F926-132C-4482-AEDC-0B0035178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479137</xdr:colOff>
      <xdr:row>110</xdr:row>
      <xdr:rowOff>100446</xdr:rowOff>
    </xdr:from>
    <xdr:to>
      <xdr:col>38</xdr:col>
      <xdr:colOff>565727</xdr:colOff>
      <xdr:row>127</xdr:row>
      <xdr:rowOff>95827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A6AE6E-17BE-41EA-96FA-CF14FE198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"/>
  <sheetViews>
    <sheetView topLeftCell="A16" workbookViewId="0">
      <selection activeCell="H28" sqref="H28"/>
    </sheetView>
  </sheetViews>
  <sheetFormatPr defaultColWidth="9.1796875" defaultRowHeight="12.5" x14ac:dyDescent="0.25"/>
  <cols>
    <col min="1" max="1" width="9.1796875" style="4"/>
    <col min="2" max="2" width="18.90625" style="4" customWidth="1"/>
    <col min="3" max="3" width="22.81640625" style="4" customWidth="1"/>
    <col min="4" max="4" width="10.81640625" style="4" bestFit="1" customWidth="1"/>
    <col min="5" max="6" width="9.1796875" style="4"/>
    <col min="7" max="7" width="15.6328125" style="4" customWidth="1"/>
    <col min="8" max="8" width="19.1796875" style="4" customWidth="1"/>
    <col min="9" max="9" width="22.08984375" style="4" bestFit="1" customWidth="1"/>
    <col min="10" max="16384" width="9.1796875" style="4"/>
  </cols>
  <sheetData>
    <row r="1" spans="1:22" ht="18.5" x14ac:dyDescent="0.45">
      <c r="A1" s="1" t="s">
        <v>9</v>
      </c>
      <c r="B1" s="2" t="s">
        <v>134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</row>
    <row r="2" spans="1:22" ht="18.5" x14ac:dyDescent="0.45">
      <c r="A2" s="1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</row>
    <row r="3" spans="1:22" ht="18.5" x14ac:dyDescent="0.45">
      <c r="A3" s="2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  <c r="V3" s="3"/>
    </row>
    <row r="4" spans="1:22" ht="18.5" x14ac:dyDescent="0.45">
      <c r="A4" s="2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  <c r="R4" s="3"/>
      <c r="S4" s="3"/>
      <c r="T4" s="3"/>
      <c r="U4" s="3"/>
      <c r="V4" s="3"/>
    </row>
    <row r="5" spans="1:22" ht="18.5" x14ac:dyDescent="0.45">
      <c r="A5" s="2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3"/>
      <c r="S5" s="3"/>
      <c r="T5" s="3"/>
      <c r="U5" s="3"/>
      <c r="V5" s="3"/>
    </row>
    <row r="6" spans="1:22" ht="19" thickBot="1" x14ac:dyDescent="0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/>
      <c r="R6" s="3"/>
      <c r="S6" s="3"/>
      <c r="T6" s="3"/>
      <c r="U6" s="3"/>
      <c r="V6" s="3"/>
    </row>
    <row r="7" spans="1:22" ht="19" thickBot="1" x14ac:dyDescent="0.5">
      <c r="A7" s="2" t="s">
        <v>7</v>
      </c>
      <c r="B7" s="5" t="s">
        <v>0</v>
      </c>
      <c r="C7" s="6"/>
      <c r="D7" s="160">
        <v>255</v>
      </c>
      <c r="E7" s="2"/>
      <c r="F7" s="2" t="s">
        <v>8</v>
      </c>
      <c r="G7" s="5" t="s">
        <v>0</v>
      </c>
      <c r="H7" s="6"/>
      <c r="I7" s="10">
        <f>D7</f>
        <v>255</v>
      </c>
      <c r="J7" s="2"/>
      <c r="K7" s="2"/>
      <c r="L7" s="2"/>
      <c r="M7" s="2"/>
      <c r="N7" s="2"/>
      <c r="O7" s="2"/>
      <c r="P7" s="2"/>
      <c r="Q7" s="3"/>
      <c r="R7" s="3"/>
      <c r="S7" s="3"/>
      <c r="T7" s="3"/>
      <c r="U7" s="3"/>
      <c r="V7" s="3"/>
    </row>
    <row r="8" spans="1:22" ht="19" thickBot="1" x14ac:dyDescent="0.5">
      <c r="A8" s="2"/>
      <c r="B8" s="5" t="s">
        <v>1</v>
      </c>
      <c r="C8" s="6"/>
      <c r="D8" s="161">
        <v>0.3</v>
      </c>
      <c r="E8" s="2"/>
      <c r="F8" s="2"/>
      <c r="G8" s="5" t="s">
        <v>1</v>
      </c>
      <c r="H8" s="6"/>
      <c r="I8" s="11">
        <f>D8</f>
        <v>0.3</v>
      </c>
      <c r="J8" s="2"/>
      <c r="K8" s="2"/>
      <c r="L8" s="2"/>
      <c r="M8" s="2"/>
      <c r="N8" s="2"/>
      <c r="O8" s="2"/>
      <c r="P8" s="2"/>
      <c r="Q8" s="3"/>
      <c r="R8" s="3"/>
      <c r="S8" s="3"/>
      <c r="T8" s="3"/>
      <c r="U8" s="3"/>
      <c r="V8" s="3"/>
    </row>
    <row r="9" spans="1:22" ht="19" thickBot="1" x14ac:dyDescent="0.5">
      <c r="A9" s="2"/>
      <c r="B9" s="5" t="s">
        <v>4</v>
      </c>
      <c r="C9" s="6"/>
      <c r="D9" s="161">
        <f>-LN(EXP(-0.04))/(8/12)</f>
        <v>6.0000000000000053E-2</v>
      </c>
      <c r="E9" s="2"/>
      <c r="F9" s="2"/>
      <c r="G9" s="5" t="s">
        <v>4</v>
      </c>
      <c r="H9" s="6"/>
      <c r="I9" s="11">
        <f>D9</f>
        <v>6.0000000000000053E-2</v>
      </c>
      <c r="J9" s="2"/>
      <c r="K9" s="2"/>
      <c r="L9" s="2"/>
      <c r="M9" s="2"/>
      <c r="N9" s="2"/>
      <c r="O9" s="2"/>
      <c r="P9" s="2"/>
      <c r="Q9" s="3"/>
      <c r="R9" s="3"/>
      <c r="S9" s="3"/>
      <c r="T9" s="3"/>
      <c r="U9" s="3"/>
      <c r="V9" s="3"/>
    </row>
    <row r="10" spans="1:22" ht="19" thickBot="1" x14ac:dyDescent="0.5">
      <c r="A10" s="2"/>
      <c r="B10" s="5" t="s">
        <v>12</v>
      </c>
      <c r="C10" s="6"/>
      <c r="D10" s="161">
        <v>0.04</v>
      </c>
      <c r="E10" s="2"/>
      <c r="F10" s="2"/>
      <c r="G10" s="5" t="s">
        <v>12</v>
      </c>
      <c r="H10" s="6"/>
      <c r="I10" s="11">
        <f>D10</f>
        <v>0.04</v>
      </c>
      <c r="J10" s="2"/>
      <c r="K10" s="2"/>
      <c r="L10" s="2"/>
      <c r="M10" s="2"/>
      <c r="N10" s="2"/>
      <c r="O10" s="2"/>
      <c r="P10" s="2"/>
      <c r="Q10" s="3"/>
      <c r="R10" s="3"/>
      <c r="S10" s="3"/>
      <c r="T10" s="3"/>
      <c r="U10" s="3"/>
      <c r="V10" s="3"/>
    </row>
    <row r="11" spans="1:22" ht="19" thickBot="1" x14ac:dyDescent="0.5">
      <c r="A11" s="2"/>
      <c r="B11" s="5" t="s">
        <v>5</v>
      </c>
      <c r="C11" s="6"/>
      <c r="D11" s="160">
        <f>8/12</f>
        <v>0.66666666666666663</v>
      </c>
      <c r="E11" s="2"/>
      <c r="F11" s="2"/>
      <c r="G11" s="5" t="s">
        <v>5</v>
      </c>
      <c r="H11" s="6"/>
      <c r="I11" s="10">
        <f>D11</f>
        <v>0.66666666666666663</v>
      </c>
      <c r="J11" s="2"/>
      <c r="K11" s="2"/>
      <c r="L11" s="2"/>
      <c r="M11" s="2"/>
      <c r="N11" s="2"/>
      <c r="O11" s="2"/>
      <c r="P11" s="2"/>
      <c r="Q11" s="3"/>
      <c r="R11" s="3"/>
      <c r="S11" s="3"/>
      <c r="T11" s="3"/>
      <c r="U11" s="3"/>
      <c r="V11" s="3"/>
    </row>
    <row r="12" spans="1:22" ht="19" thickBot="1" x14ac:dyDescent="0.5">
      <c r="A12" s="2"/>
      <c r="B12" s="5" t="s">
        <v>6</v>
      </c>
      <c r="C12" s="6"/>
      <c r="D12" s="162">
        <f>D7*EXP((D9-D10)*D11)</f>
        <v>258.42276774410732</v>
      </c>
      <c r="E12" s="2"/>
      <c r="F12" s="2"/>
      <c r="G12" s="5" t="s">
        <v>6</v>
      </c>
      <c r="H12" s="6"/>
      <c r="I12" s="7">
        <f>I7</f>
        <v>255</v>
      </c>
      <c r="J12" s="2"/>
      <c r="K12" s="2"/>
      <c r="L12" s="2"/>
      <c r="M12" s="2"/>
      <c r="N12" s="2"/>
      <c r="O12" s="2"/>
      <c r="P12" s="2"/>
      <c r="Q12" s="3"/>
      <c r="R12" s="3"/>
      <c r="S12" s="3"/>
      <c r="T12" s="3"/>
      <c r="U12" s="3"/>
      <c r="V12" s="3"/>
    </row>
    <row r="13" spans="1:22" ht="19" thickBot="1" x14ac:dyDescent="0.5">
      <c r="A13" s="2"/>
      <c r="B13" s="2"/>
      <c r="C13" s="2"/>
      <c r="D13" s="8"/>
      <c r="E13" s="2"/>
      <c r="F13" s="2"/>
      <c r="G13" s="2"/>
      <c r="H13" s="2"/>
      <c r="I13" s="8"/>
      <c r="J13" s="2"/>
      <c r="K13" s="2"/>
      <c r="L13" s="2"/>
      <c r="M13" s="2"/>
      <c r="N13" s="2"/>
      <c r="O13" s="2"/>
      <c r="P13" s="2"/>
      <c r="Q13" s="3"/>
      <c r="R13" s="3"/>
      <c r="S13" s="3"/>
      <c r="T13" s="3"/>
      <c r="U13" s="3"/>
      <c r="V13" s="3"/>
    </row>
    <row r="14" spans="1:22" ht="19" thickBot="1" x14ac:dyDescent="0.5">
      <c r="A14" s="2"/>
      <c r="B14" s="5" t="s">
        <v>2</v>
      </c>
      <c r="C14" s="6"/>
      <c r="D14" s="162">
        <f>(LN(D7/D12)+((D9-D10+(0.5*D8*D8))*D11))/(D8*SQRT(D11))</f>
        <v>0.12247448713915941</v>
      </c>
      <c r="E14" s="2"/>
      <c r="F14" s="2"/>
      <c r="G14" s="5" t="s">
        <v>2</v>
      </c>
      <c r="H14" s="6"/>
      <c r="I14" s="7">
        <f>(LN(I7/I12)+((I9-I10+(0.5*I8*I8))*I11))/(I8*SQRT(I11))</f>
        <v>0.1769075925343408</v>
      </c>
      <c r="J14" s="2"/>
      <c r="K14" s="2"/>
      <c r="L14" s="2"/>
      <c r="M14" s="2"/>
      <c r="N14" s="2"/>
      <c r="O14" s="2"/>
      <c r="P14" s="2"/>
      <c r="Q14" s="3"/>
      <c r="R14" s="3"/>
      <c r="S14" s="3"/>
      <c r="T14" s="3"/>
      <c r="U14" s="3"/>
      <c r="V14" s="3"/>
    </row>
    <row r="15" spans="1:22" ht="19" thickBot="1" x14ac:dyDescent="0.5">
      <c r="A15" s="2"/>
      <c r="B15" s="5" t="s">
        <v>3</v>
      </c>
      <c r="C15" s="6"/>
      <c r="D15" s="162">
        <f>D14-(D8*SQRT(D11))</f>
        <v>-0.12247448713915839</v>
      </c>
      <c r="E15" s="2"/>
      <c r="F15" s="2"/>
      <c r="G15" s="5" t="s">
        <v>3</v>
      </c>
      <c r="H15" s="6"/>
      <c r="I15" s="7">
        <f>I14-(I8*SQRT(I11))</f>
        <v>-6.8041381743977003E-2</v>
      </c>
      <c r="J15" s="2"/>
      <c r="K15" s="2"/>
      <c r="L15" s="2"/>
      <c r="M15" s="2"/>
      <c r="N15" s="2"/>
      <c r="O15" s="2"/>
      <c r="P15" s="2"/>
      <c r="Q15" s="3"/>
      <c r="R15" s="3"/>
      <c r="S15" s="3"/>
      <c r="T15" s="3"/>
      <c r="U15" s="3"/>
      <c r="V15" s="3"/>
    </row>
    <row r="16" spans="1:22" ht="19" thickBot="1" x14ac:dyDescent="0.5">
      <c r="A16" s="2"/>
      <c r="B16" s="5" t="s">
        <v>84</v>
      </c>
      <c r="C16" s="6"/>
      <c r="D16" s="9">
        <f>(-D7*EXP(-D10*D11)*NORMSDIST(-D14))+(D12*EXP(-D9*D11)*NORMSDIST(-D15))</f>
        <v>24.202489159790062</v>
      </c>
      <c r="E16" s="2"/>
      <c r="F16" s="2"/>
      <c r="G16" s="5" t="s">
        <v>85</v>
      </c>
      <c r="H16" s="6"/>
      <c r="I16" s="9">
        <f>(I7*EXP(-I10*I11)*NORMSDIST(I14))-(I12*EXP(-I9*I11)*NORMSDIST(I15))</f>
        <v>25.721920634347626</v>
      </c>
      <c r="J16" s="2"/>
      <c r="K16" s="2"/>
      <c r="L16" s="2"/>
      <c r="M16" s="2"/>
      <c r="N16" s="2"/>
      <c r="O16" s="2"/>
      <c r="P16" s="2"/>
      <c r="Q16" s="3"/>
      <c r="R16" s="3"/>
      <c r="S16" s="3"/>
      <c r="T16" s="3"/>
      <c r="U16" s="3"/>
      <c r="V16" s="3"/>
    </row>
    <row r="17" spans="1:22" ht="18.5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  <c r="R17" s="3"/>
      <c r="S17" s="3"/>
      <c r="T17" s="3"/>
      <c r="U17" s="3"/>
      <c r="V17" s="3"/>
    </row>
    <row r="18" spans="1:22" ht="18.5" x14ac:dyDescent="0.45">
      <c r="A18" s="12" t="s">
        <v>15</v>
      </c>
      <c r="B18" s="12" t="s">
        <v>22</v>
      </c>
      <c r="C18" s="12"/>
      <c r="D18" s="12"/>
      <c r="E18" s="12"/>
      <c r="F18" s="12" t="s">
        <v>16</v>
      </c>
      <c r="G18" s="12" t="s">
        <v>22</v>
      </c>
      <c r="H18" s="12"/>
      <c r="I18" s="12"/>
      <c r="J18" s="2"/>
      <c r="K18" s="2"/>
      <c r="L18" s="2"/>
      <c r="M18" s="2"/>
      <c r="N18" s="2"/>
      <c r="O18" s="2"/>
      <c r="P18" s="2"/>
      <c r="Q18" s="3"/>
      <c r="R18" s="3"/>
      <c r="S18" s="3"/>
      <c r="T18" s="3"/>
      <c r="U18" s="3"/>
      <c r="V18" s="3"/>
    </row>
    <row r="19" spans="1:22" ht="18.5" x14ac:dyDescent="0.45">
      <c r="A19" s="12"/>
      <c r="B19" s="12" t="s">
        <v>18</v>
      </c>
      <c r="C19" s="13">
        <f>D16</f>
        <v>24.202489159790062</v>
      </c>
      <c r="D19" s="12"/>
      <c r="E19" s="12"/>
      <c r="F19" s="12"/>
      <c r="G19" s="12" t="s">
        <v>17</v>
      </c>
      <c r="H19" s="13">
        <f>I16</f>
        <v>25.721920634347626</v>
      </c>
      <c r="I19" s="12"/>
      <c r="J19" s="2"/>
      <c r="K19" s="2"/>
      <c r="L19" s="2"/>
      <c r="M19" s="2"/>
      <c r="N19" s="2"/>
      <c r="O19" s="2"/>
      <c r="P19" s="2"/>
      <c r="Q19" s="3"/>
      <c r="R19" s="3"/>
      <c r="S19" s="3"/>
      <c r="T19" s="3"/>
      <c r="U19" s="3"/>
      <c r="V19" s="3"/>
    </row>
    <row r="20" spans="1:22" ht="18.5" x14ac:dyDescent="0.45">
      <c r="A20" s="12"/>
      <c r="B20" s="12" t="s">
        <v>0</v>
      </c>
      <c r="C20" s="14">
        <f>D7</f>
        <v>255</v>
      </c>
      <c r="D20" s="12"/>
      <c r="E20" s="12"/>
      <c r="F20" s="12"/>
      <c r="G20" s="12" t="s">
        <v>0</v>
      </c>
      <c r="H20" s="14">
        <f>I7</f>
        <v>255</v>
      </c>
      <c r="I20" s="12"/>
      <c r="J20" s="2"/>
      <c r="K20" s="2"/>
      <c r="L20" s="2"/>
      <c r="M20" s="2"/>
      <c r="N20" s="2"/>
      <c r="O20" s="2"/>
      <c r="P20" s="2"/>
      <c r="Q20" s="3"/>
      <c r="R20" s="3"/>
      <c r="S20" s="3"/>
      <c r="T20" s="3"/>
      <c r="U20" s="3"/>
      <c r="V20" s="3"/>
    </row>
    <row r="21" spans="1:22" ht="18.5" x14ac:dyDescent="0.45">
      <c r="A21" s="12"/>
      <c r="B21" s="12" t="s">
        <v>19</v>
      </c>
      <c r="C21" s="14">
        <f>D12</f>
        <v>258.42276774410732</v>
      </c>
      <c r="D21" s="12"/>
      <c r="E21" s="12"/>
      <c r="F21" s="12"/>
      <c r="G21" s="12" t="s">
        <v>19</v>
      </c>
      <c r="H21" s="14">
        <f>I12</f>
        <v>255</v>
      </c>
      <c r="I21" s="12"/>
      <c r="J21" s="2"/>
      <c r="K21" s="2"/>
      <c r="L21" s="2"/>
      <c r="M21" s="2"/>
      <c r="N21" s="2"/>
      <c r="O21" s="2"/>
      <c r="P21" s="2"/>
      <c r="Q21" s="3"/>
      <c r="R21" s="3"/>
      <c r="S21" s="3"/>
      <c r="T21" s="3"/>
      <c r="U21" s="3"/>
      <c r="V21" s="3"/>
    </row>
    <row r="22" spans="1:22" ht="18.5" x14ac:dyDescent="0.45">
      <c r="A22" s="12"/>
      <c r="B22" s="12" t="s">
        <v>20</v>
      </c>
      <c r="C22" s="12">
        <f>EXP(-D9*D11)</f>
        <v>0.96078943915232318</v>
      </c>
      <c r="D22" s="12"/>
      <c r="E22" s="12"/>
      <c r="F22" s="12"/>
      <c r="G22" s="12" t="s">
        <v>20</v>
      </c>
      <c r="H22" s="12">
        <f>C22</f>
        <v>0.96078943915232318</v>
      </c>
      <c r="I22" s="12"/>
      <c r="J22" s="2"/>
      <c r="K22" s="2"/>
      <c r="L22" s="2"/>
      <c r="M22" s="2"/>
      <c r="N22" s="2"/>
      <c r="O22" s="2"/>
      <c r="P22" s="2"/>
      <c r="Q22" s="3"/>
      <c r="R22" s="3"/>
      <c r="S22" s="3"/>
      <c r="T22" s="3"/>
      <c r="U22" s="3"/>
      <c r="V22" s="3"/>
    </row>
    <row r="23" spans="1:22" ht="18.5" x14ac:dyDescent="0.45">
      <c r="A23" s="12"/>
      <c r="B23" s="12" t="s">
        <v>23</v>
      </c>
      <c r="C23" s="12">
        <f>EXP(-D10*D11)</f>
        <v>0.973685749353145</v>
      </c>
      <c r="D23" s="12"/>
      <c r="E23" s="12"/>
      <c r="F23" s="12"/>
      <c r="G23" s="12" t="s">
        <v>23</v>
      </c>
      <c r="H23" s="12">
        <f>C23</f>
        <v>0.973685749353145</v>
      </c>
      <c r="I23" s="12"/>
      <c r="J23" s="2"/>
      <c r="K23" s="2"/>
      <c r="L23" s="2"/>
      <c r="M23" s="2"/>
      <c r="N23" s="2"/>
      <c r="O23" s="2"/>
      <c r="P23" s="2"/>
      <c r="Q23" s="3"/>
      <c r="R23" s="3"/>
      <c r="S23" s="3"/>
      <c r="T23" s="3"/>
      <c r="U23" s="3"/>
      <c r="V23" s="3"/>
    </row>
    <row r="24" spans="1:22" ht="18.5" x14ac:dyDescent="0.45">
      <c r="A24" s="12"/>
      <c r="B24" s="12"/>
      <c r="C24" s="12"/>
      <c r="D24" s="12"/>
      <c r="E24" s="12"/>
      <c r="F24" s="12"/>
      <c r="G24" s="12"/>
      <c r="H24" s="12"/>
      <c r="I24" s="12"/>
      <c r="J24" s="2"/>
      <c r="K24" s="2"/>
      <c r="L24" s="2"/>
      <c r="M24" s="2"/>
      <c r="N24" s="2"/>
      <c r="O24" s="2"/>
      <c r="P24" s="2"/>
      <c r="Q24" s="3"/>
      <c r="R24" s="3"/>
      <c r="S24" s="3"/>
      <c r="T24" s="3"/>
      <c r="U24" s="3"/>
      <c r="V24" s="3"/>
    </row>
    <row r="25" spans="1:22" ht="18.5" x14ac:dyDescent="0.45">
      <c r="A25" s="12"/>
      <c r="B25" s="12" t="s">
        <v>21</v>
      </c>
      <c r="C25" s="15">
        <f>C19-(C21*C22)+(C20*C23)</f>
        <v>24.202489159790105</v>
      </c>
      <c r="D25" s="12"/>
      <c r="E25" s="12"/>
      <c r="F25" s="12"/>
      <c r="G25" s="12" t="s">
        <v>86</v>
      </c>
      <c r="H25" s="15">
        <f>H19+(H21*H22)-(H20*H23)</f>
        <v>22.433361533138054</v>
      </c>
      <c r="I25" s="12"/>
      <c r="J25" s="2"/>
      <c r="K25" s="2"/>
      <c r="L25" s="2"/>
      <c r="M25" s="2"/>
      <c r="N25" s="2"/>
      <c r="O25" s="2"/>
      <c r="P25" s="2"/>
      <c r="Q25" s="3"/>
      <c r="R25" s="3"/>
      <c r="S25" s="3"/>
      <c r="T25" s="3"/>
      <c r="U25" s="3"/>
      <c r="V25" s="3"/>
    </row>
    <row r="26" spans="1:22" ht="18.5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"/>
      <c r="R26" s="3"/>
      <c r="S26" s="3"/>
      <c r="T26" s="3"/>
      <c r="U26" s="3"/>
      <c r="V26" s="3"/>
    </row>
    <row r="27" spans="1:22" ht="18.5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/>
      <c r="R27" s="3"/>
      <c r="S27" s="3"/>
      <c r="T27" s="3"/>
      <c r="U27" s="3"/>
      <c r="V27" s="3"/>
    </row>
    <row r="28" spans="1:22" ht="18.5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3"/>
      <c r="R28" s="3"/>
      <c r="S28" s="3"/>
      <c r="T28" s="3"/>
      <c r="U28" s="3"/>
      <c r="V28" s="3"/>
    </row>
    <row r="29" spans="1:22" ht="18.5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  <c r="R29" s="3"/>
      <c r="S29" s="3"/>
      <c r="T29" s="3"/>
      <c r="U29" s="3"/>
      <c r="V29" s="3"/>
    </row>
    <row r="30" spans="1:22" ht="18.5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/>
      <c r="R30" s="3"/>
      <c r="S30" s="3"/>
      <c r="T30" s="3"/>
      <c r="U30" s="3"/>
      <c r="V30" s="3"/>
    </row>
    <row r="31" spans="1:22" ht="18.5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"/>
      <c r="R31" s="3"/>
      <c r="S31" s="3"/>
      <c r="T31" s="3"/>
      <c r="U31" s="3"/>
      <c r="V31" s="3"/>
    </row>
    <row r="32" spans="1:22" ht="18.5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3"/>
      <c r="R32" s="3"/>
      <c r="S32" s="3"/>
      <c r="T32" s="3"/>
      <c r="U32" s="3"/>
      <c r="V32" s="3"/>
    </row>
    <row r="33" spans="1:22" ht="18.5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3"/>
      <c r="R33" s="3"/>
      <c r="S33" s="3"/>
      <c r="T33" s="3"/>
      <c r="U33" s="3"/>
      <c r="V33" s="3"/>
    </row>
    <row r="34" spans="1:22" ht="18.5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3"/>
      <c r="R34" s="3"/>
      <c r="S34" s="3"/>
      <c r="T34" s="3"/>
      <c r="U34" s="3"/>
      <c r="V34" s="3"/>
    </row>
    <row r="35" spans="1:22" ht="18.5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3"/>
      <c r="R35" s="3"/>
      <c r="S35" s="3"/>
      <c r="T35" s="3"/>
      <c r="U35" s="3"/>
      <c r="V35" s="3"/>
    </row>
    <row r="36" spans="1:22" ht="18.5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  <c r="R36" s="3"/>
      <c r="S36" s="3"/>
      <c r="T36" s="3"/>
      <c r="U36" s="3"/>
      <c r="V36" s="3"/>
    </row>
    <row r="37" spans="1:22" ht="18.5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3"/>
      <c r="R37" s="3"/>
      <c r="S37" s="3"/>
      <c r="T37" s="3"/>
      <c r="U37" s="3"/>
      <c r="V37" s="3"/>
    </row>
    <row r="38" spans="1:22" ht="18.5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3"/>
      <c r="R38" s="3"/>
      <c r="S38" s="3"/>
      <c r="T38" s="3"/>
      <c r="U38" s="3"/>
      <c r="V38" s="3"/>
    </row>
    <row r="39" spans="1:22" ht="18.5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3"/>
      <c r="R39" s="3"/>
      <c r="S39" s="3"/>
      <c r="T39" s="3"/>
      <c r="U39" s="3"/>
      <c r="V39" s="3"/>
    </row>
    <row r="40" spans="1:22" ht="18.5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3"/>
      <c r="R40" s="3"/>
      <c r="S40" s="3"/>
      <c r="T40" s="3"/>
      <c r="U40" s="3"/>
      <c r="V40" s="3"/>
    </row>
    <row r="41" spans="1:22" ht="18.5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3"/>
      <c r="R41" s="3"/>
      <c r="S41" s="3"/>
      <c r="T41" s="3"/>
      <c r="U41" s="3"/>
      <c r="V41" s="3"/>
    </row>
    <row r="42" spans="1:22" ht="18.5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3"/>
      <c r="R42" s="3"/>
      <c r="S42" s="3"/>
      <c r="T42" s="3"/>
      <c r="U42" s="3"/>
      <c r="V42" s="3"/>
    </row>
    <row r="43" spans="1:22" ht="18.5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3"/>
      <c r="R43" s="3"/>
      <c r="S43" s="3"/>
      <c r="T43" s="3"/>
      <c r="U43" s="3"/>
      <c r="V43" s="3"/>
    </row>
    <row r="44" spans="1:22" ht="18.5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3"/>
      <c r="R44" s="3"/>
      <c r="S44" s="3"/>
      <c r="T44" s="3"/>
      <c r="U44" s="3"/>
      <c r="V44" s="3"/>
    </row>
    <row r="45" spans="1:22" ht="18.5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3"/>
      <c r="R45" s="3"/>
      <c r="S45" s="3"/>
      <c r="T45" s="3"/>
      <c r="U45" s="3"/>
      <c r="V45" s="3"/>
    </row>
    <row r="46" spans="1:22" ht="18.5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3"/>
      <c r="R46" s="3"/>
      <c r="S46" s="3"/>
      <c r="T46" s="3"/>
      <c r="U46" s="3"/>
      <c r="V46" s="3"/>
    </row>
    <row r="47" spans="1:22" ht="18.5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3"/>
      <c r="R47" s="3"/>
      <c r="S47" s="3"/>
      <c r="T47" s="3"/>
      <c r="U47" s="3"/>
      <c r="V47" s="3"/>
    </row>
    <row r="48" spans="1:22" ht="18.5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3"/>
      <c r="R48" s="3"/>
      <c r="S48" s="3"/>
      <c r="T48" s="3"/>
      <c r="U48" s="3"/>
      <c r="V48" s="3"/>
    </row>
    <row r="49" spans="1:22" ht="18.5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3"/>
      <c r="R49" s="3"/>
      <c r="S49" s="3"/>
      <c r="T49" s="3"/>
      <c r="U49" s="3"/>
      <c r="V49" s="3"/>
    </row>
    <row r="50" spans="1:22" ht="18.5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3"/>
      <c r="R50" s="3"/>
      <c r="S50" s="3"/>
      <c r="T50" s="3"/>
      <c r="U50" s="3"/>
      <c r="V50" s="3"/>
    </row>
    <row r="51" spans="1:22" ht="14.5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4.5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4.5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4.5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4.5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4.5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4.5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4.5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4.5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4.5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4.5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4.5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4.5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4.5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4.5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4.5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4.5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4.5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4.5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4.5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4.5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4.5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4.5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4.5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4.5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4.5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4.5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4.5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4.5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4.5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4.5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4.5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4.5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4.5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4.5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4.5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4.5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4.5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4.5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4.5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4.5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4.5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4.5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4.5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4.5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4.5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4.5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4.5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4.5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4.5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4.5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4.5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4.5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4.5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4.5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4.5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C186-0BF3-44A1-A9BC-DCB05950D2C1}">
  <dimension ref="A1:AM132"/>
  <sheetViews>
    <sheetView topLeftCell="H1" zoomScale="110" zoomScaleNormal="110" workbookViewId="0">
      <selection activeCell="K2" sqref="K2:N2"/>
    </sheetView>
  </sheetViews>
  <sheetFormatPr defaultColWidth="9.1796875" defaultRowHeight="12.5" x14ac:dyDescent="0.25"/>
  <cols>
    <col min="1" max="1" width="20.453125" style="17" bestFit="1" customWidth="1"/>
    <col min="2" max="8" width="9.1796875" style="17"/>
    <col min="9" max="9" width="12.453125" style="17" bestFit="1" customWidth="1"/>
    <col min="10" max="10" width="20.26953125" style="17" bestFit="1" customWidth="1"/>
    <col min="11" max="11" width="10.1796875" style="17" bestFit="1" customWidth="1"/>
    <col min="12" max="16384" width="9.1796875" style="17"/>
  </cols>
  <sheetData>
    <row r="1" spans="1:39" ht="25" customHeight="1" x14ac:dyDescent="0.25">
      <c r="A1" s="165" t="s">
        <v>24</v>
      </c>
      <c r="B1" s="167" t="str">
        <f>K3</f>
        <v>C</v>
      </c>
      <c r="C1" s="167" t="str">
        <f>L3</f>
        <v>C</v>
      </c>
      <c r="D1" s="167" t="str">
        <f t="shared" ref="D1:E1" si="0">M3</f>
        <v>C</v>
      </c>
      <c r="E1" s="167" t="str">
        <f t="shared" si="0"/>
        <v>C</v>
      </c>
      <c r="F1" s="178" t="s">
        <v>25</v>
      </c>
      <c r="G1" s="183" t="s">
        <v>45</v>
      </c>
      <c r="H1" s="165" t="s">
        <v>46</v>
      </c>
      <c r="I1" s="181" t="s">
        <v>55</v>
      </c>
      <c r="J1" s="182"/>
      <c r="K1" s="18" t="s">
        <v>26</v>
      </c>
      <c r="L1" s="18" t="s">
        <v>27</v>
      </c>
      <c r="M1" s="18" t="s">
        <v>28</v>
      </c>
      <c r="N1" s="18" t="s">
        <v>29</v>
      </c>
    </row>
    <row r="2" spans="1:39" x14ac:dyDescent="0.25">
      <c r="A2" s="166"/>
      <c r="B2" s="168"/>
      <c r="C2" s="168"/>
      <c r="D2" s="168"/>
      <c r="E2" s="168"/>
      <c r="F2" s="178"/>
      <c r="G2" s="184"/>
      <c r="H2" s="186"/>
      <c r="I2" s="187" t="s">
        <v>30</v>
      </c>
      <c r="J2" s="20" t="s">
        <v>31</v>
      </c>
      <c r="K2" s="189">
        <v>110</v>
      </c>
      <c r="L2" s="189"/>
      <c r="M2" s="189"/>
      <c r="N2" s="189"/>
    </row>
    <row r="3" spans="1:39" x14ac:dyDescent="0.25">
      <c r="A3" s="22" t="s">
        <v>32</v>
      </c>
      <c r="B3" s="169" t="s">
        <v>33</v>
      </c>
      <c r="C3" s="170"/>
      <c r="D3" s="170"/>
      <c r="E3" s="171"/>
      <c r="F3" s="165"/>
      <c r="G3" s="185"/>
      <c r="H3" s="166"/>
      <c r="I3" s="188"/>
      <c r="J3" s="25" t="s">
        <v>34</v>
      </c>
      <c r="K3" s="21" t="s">
        <v>35</v>
      </c>
      <c r="L3" s="21" t="s">
        <v>35</v>
      </c>
      <c r="M3" s="21" t="s">
        <v>35</v>
      </c>
      <c r="N3" s="21" t="s">
        <v>35</v>
      </c>
    </row>
    <row r="4" spans="1:39" x14ac:dyDescent="0.25">
      <c r="A4" s="23">
        <v>70</v>
      </c>
      <c r="B4" s="26">
        <f>(MAX(IF($B$1="C",1,-1)*(A4-$K$5),0)-IF($K$10="Y",$K$13*EXP($K$6*$K$9),0))*$K$4</f>
        <v>0</v>
      </c>
      <c r="C4" s="20">
        <f>(MAX(IF($C$1="C",1,-1)*(A4-$L$5),0)-IF($K$10="Y",$L$13*EXP($K$6*$K$9),0))*$L$4</f>
        <v>0</v>
      </c>
      <c r="D4" s="20">
        <f>(MAX(IF($D$1="C",1,-1)*(A4-$M$5),0)-IF($K$10="Y",$M$13*EXP($K$6*$K$9),0))*$M$4</f>
        <v>0</v>
      </c>
      <c r="E4" s="20">
        <f>(MAX(IF($E$1="C",1,-1)*(A4-$N$5),0)-IF($K$10="Y",$N$13*EXP($K$6*$K$9),0))*$N$4</f>
        <v>0</v>
      </c>
      <c r="F4" s="27">
        <f>SUM(B4:E4)</f>
        <v>0</v>
      </c>
      <c r="G4" s="40">
        <f>IF(A4&lt;=$K$18,0,IF(A4&gt;$K$19,0,$K$19-A4))</f>
        <v>0</v>
      </c>
      <c r="H4" s="41">
        <f>F4-G4</f>
        <v>0</v>
      </c>
      <c r="I4" s="186"/>
      <c r="J4" s="25" t="s">
        <v>36</v>
      </c>
      <c r="K4" s="21">
        <v>2000000</v>
      </c>
      <c r="L4" s="21">
        <f>-K4</f>
        <v>-2000000</v>
      </c>
      <c r="M4" s="21">
        <v>-1</v>
      </c>
      <c r="N4" s="21">
        <v>1</v>
      </c>
      <c r="AL4" s="17" t="s">
        <v>47</v>
      </c>
      <c r="AM4" s="17" t="s">
        <v>48</v>
      </c>
    </row>
    <row r="5" spans="1:39" x14ac:dyDescent="0.25">
      <c r="A5" s="28">
        <f>A4+1</f>
        <v>71</v>
      </c>
      <c r="B5" s="29">
        <f t="shared" ref="B5:B68" si="1">(MAX(IF($B$1="C",1,-1)*(A5-$K$5),0)-IF($K$10="Y",$K$13*EXP($K$6*$K$9),0))*$K$4</f>
        <v>0</v>
      </c>
      <c r="C5" s="30">
        <f t="shared" ref="C5:C68" si="2">(MAX(IF($C$1="C",1,-1)*(A5-$L$5),0)-IF($K$10="Y",$L$13*EXP($K$6*$K$9),0))*$L$4</f>
        <v>0</v>
      </c>
      <c r="D5" s="30">
        <f t="shared" ref="D5:D68" si="3">(MAX(IF($D$1="C",1,-1)*(A5-$M$5),0)-IF($K$10="Y",$M$13*EXP($K$6*$K$9),0))*$M$4</f>
        <v>0</v>
      </c>
      <c r="E5" s="30">
        <f t="shared" ref="E5:E68" si="4">(MAX(IF($E$1="C",1,-1)*(A5-$N$5),0)-IF($K$10="Y",$N$13*EXP($K$6*$K$9),0))*$N$4</f>
        <v>0</v>
      </c>
      <c r="F5" s="31">
        <f t="shared" ref="F5:F68" si="5">SUM(B5:E5)</f>
        <v>0</v>
      </c>
      <c r="G5" s="40">
        <f t="shared" ref="G5:G68" si="6">IF(A5&lt;=$K$18,0,IF(A5&gt;$K$19,0,$K$19-A5))</f>
        <v>0</v>
      </c>
      <c r="H5" s="41">
        <f t="shared" ref="H5:H68" si="7">F5-G5</f>
        <v>0</v>
      </c>
      <c r="I5" s="186"/>
      <c r="J5" s="30" t="s">
        <v>37</v>
      </c>
      <c r="K5" s="21">
        <v>80</v>
      </c>
      <c r="L5" s="21">
        <v>80.000010000000003</v>
      </c>
      <c r="M5" s="21">
        <v>80</v>
      </c>
      <c r="N5" s="21">
        <v>100</v>
      </c>
      <c r="AL5" s="17">
        <v>0</v>
      </c>
      <c r="AM5" s="17">
        <f>MAX(0,(AL5^2)-120)</f>
        <v>0</v>
      </c>
    </row>
    <row r="6" spans="1:39" x14ac:dyDescent="0.25">
      <c r="A6" s="28">
        <f t="shared" ref="A6:A69" si="8">A5+1</f>
        <v>72</v>
      </c>
      <c r="B6" s="29">
        <f t="shared" si="1"/>
        <v>0</v>
      </c>
      <c r="C6" s="30">
        <f t="shared" si="2"/>
        <v>0</v>
      </c>
      <c r="D6" s="30">
        <f t="shared" si="3"/>
        <v>0</v>
      </c>
      <c r="E6" s="30">
        <f t="shared" si="4"/>
        <v>0</v>
      </c>
      <c r="F6" s="31">
        <f t="shared" si="5"/>
        <v>0</v>
      </c>
      <c r="G6" s="40">
        <f t="shared" si="6"/>
        <v>0</v>
      </c>
      <c r="H6" s="41">
        <f t="shared" si="7"/>
        <v>0</v>
      </c>
      <c r="I6" s="186"/>
      <c r="J6" s="30" t="s">
        <v>38</v>
      </c>
      <c r="K6" s="172">
        <v>0.04</v>
      </c>
      <c r="L6" s="173"/>
      <c r="M6" s="173"/>
      <c r="N6" s="174"/>
      <c r="AL6" s="17">
        <f>AL5+2</f>
        <v>2</v>
      </c>
      <c r="AM6" s="17">
        <f t="shared" ref="AM6:AM69" si="9">MAX(0,(AL6^2)-120)</f>
        <v>0</v>
      </c>
    </row>
    <row r="7" spans="1:39" x14ac:dyDescent="0.25">
      <c r="A7" s="28">
        <f t="shared" si="8"/>
        <v>73</v>
      </c>
      <c r="B7" s="29">
        <f t="shared" si="1"/>
        <v>0</v>
      </c>
      <c r="C7" s="30">
        <f t="shared" si="2"/>
        <v>0</v>
      </c>
      <c r="D7" s="30">
        <f t="shared" si="3"/>
        <v>0</v>
      </c>
      <c r="E7" s="30">
        <f t="shared" si="4"/>
        <v>0</v>
      </c>
      <c r="F7" s="31">
        <f t="shared" si="5"/>
        <v>0</v>
      </c>
      <c r="G7" s="40">
        <f t="shared" si="6"/>
        <v>0</v>
      </c>
      <c r="H7" s="41">
        <f t="shared" si="7"/>
        <v>0</v>
      </c>
      <c r="I7" s="186"/>
      <c r="J7" s="30" t="s">
        <v>39</v>
      </c>
      <c r="K7" s="172">
        <v>0.01</v>
      </c>
      <c r="L7" s="173"/>
      <c r="M7" s="173"/>
      <c r="N7" s="174"/>
      <c r="AL7" s="17">
        <f t="shared" ref="AL7:AL70" si="10">AL6+2</f>
        <v>4</v>
      </c>
      <c r="AM7" s="17">
        <f t="shared" si="9"/>
        <v>0</v>
      </c>
    </row>
    <row r="8" spans="1:39" x14ac:dyDescent="0.25">
      <c r="A8" s="28">
        <f t="shared" si="8"/>
        <v>74</v>
      </c>
      <c r="B8" s="29">
        <f t="shared" si="1"/>
        <v>0</v>
      </c>
      <c r="C8" s="30">
        <f t="shared" si="2"/>
        <v>0</v>
      </c>
      <c r="D8" s="30">
        <f t="shared" si="3"/>
        <v>0</v>
      </c>
      <c r="E8" s="30">
        <f t="shared" si="4"/>
        <v>0</v>
      </c>
      <c r="F8" s="31">
        <f t="shared" si="5"/>
        <v>0</v>
      </c>
      <c r="G8" s="40">
        <f t="shared" si="6"/>
        <v>0</v>
      </c>
      <c r="H8" s="41">
        <f t="shared" si="7"/>
        <v>0</v>
      </c>
      <c r="I8" s="186"/>
      <c r="J8" s="30" t="s">
        <v>40</v>
      </c>
      <c r="K8" s="172">
        <v>0.3</v>
      </c>
      <c r="L8" s="173"/>
      <c r="M8" s="173"/>
      <c r="N8" s="174"/>
      <c r="AL8" s="17">
        <f t="shared" si="10"/>
        <v>6</v>
      </c>
      <c r="AM8" s="17">
        <f t="shared" si="9"/>
        <v>0</v>
      </c>
    </row>
    <row r="9" spans="1:39" x14ac:dyDescent="0.25">
      <c r="A9" s="28">
        <f t="shared" si="8"/>
        <v>75</v>
      </c>
      <c r="B9" s="29">
        <f t="shared" si="1"/>
        <v>0</v>
      </c>
      <c r="C9" s="30">
        <f t="shared" si="2"/>
        <v>0</v>
      </c>
      <c r="D9" s="30">
        <f t="shared" si="3"/>
        <v>0</v>
      </c>
      <c r="E9" s="30">
        <f t="shared" si="4"/>
        <v>0</v>
      </c>
      <c r="F9" s="31">
        <f t="shared" si="5"/>
        <v>0</v>
      </c>
      <c r="G9" s="40">
        <f t="shared" si="6"/>
        <v>0</v>
      </c>
      <c r="H9" s="41">
        <f t="shared" si="7"/>
        <v>0</v>
      </c>
      <c r="I9" s="186"/>
      <c r="J9" s="32" t="s">
        <v>41</v>
      </c>
      <c r="K9" s="175">
        <v>1</v>
      </c>
      <c r="L9" s="176"/>
      <c r="M9" s="176"/>
      <c r="N9" s="177"/>
      <c r="AL9" s="17">
        <f t="shared" si="10"/>
        <v>8</v>
      </c>
      <c r="AM9" s="17">
        <f t="shared" si="9"/>
        <v>0</v>
      </c>
    </row>
    <row r="10" spans="1:39" x14ac:dyDescent="0.25">
      <c r="A10" s="28">
        <f t="shared" si="8"/>
        <v>76</v>
      </c>
      <c r="B10" s="29">
        <f t="shared" si="1"/>
        <v>0</v>
      </c>
      <c r="C10" s="30">
        <f t="shared" si="2"/>
        <v>0</v>
      </c>
      <c r="D10" s="30">
        <f t="shared" si="3"/>
        <v>0</v>
      </c>
      <c r="E10" s="30">
        <f t="shared" si="4"/>
        <v>0</v>
      </c>
      <c r="F10" s="31">
        <f t="shared" si="5"/>
        <v>0</v>
      </c>
      <c r="G10" s="40">
        <f t="shared" si="6"/>
        <v>0</v>
      </c>
      <c r="H10" s="41">
        <f t="shared" si="7"/>
        <v>0</v>
      </c>
      <c r="I10" s="166"/>
      <c r="J10" s="33" t="s">
        <v>42</v>
      </c>
      <c r="K10" s="175" t="s">
        <v>49</v>
      </c>
      <c r="L10" s="176"/>
      <c r="M10" s="176"/>
      <c r="N10" s="177"/>
      <c r="AL10" s="17">
        <f t="shared" si="10"/>
        <v>10</v>
      </c>
      <c r="AM10" s="17">
        <f t="shared" si="9"/>
        <v>0</v>
      </c>
    </row>
    <row r="11" spans="1:39" x14ac:dyDescent="0.25">
      <c r="A11" s="28">
        <f t="shared" si="8"/>
        <v>77</v>
      </c>
      <c r="B11" s="29">
        <f t="shared" si="1"/>
        <v>0</v>
      </c>
      <c r="C11" s="30">
        <f t="shared" si="2"/>
        <v>0</v>
      </c>
      <c r="D11" s="30">
        <f t="shared" si="3"/>
        <v>0</v>
      </c>
      <c r="E11" s="30">
        <f t="shared" si="4"/>
        <v>0</v>
      </c>
      <c r="F11" s="31">
        <f t="shared" si="5"/>
        <v>0</v>
      </c>
      <c r="G11" s="40">
        <f t="shared" si="6"/>
        <v>0</v>
      </c>
      <c r="H11" s="41">
        <f t="shared" si="7"/>
        <v>0</v>
      </c>
      <c r="I11" s="16" t="s">
        <v>43</v>
      </c>
      <c r="J11" s="26" t="s">
        <v>2</v>
      </c>
      <c r="K11" s="22">
        <f>(LN($K$2/K5)+(($K$6-$K$7+(0.5*$K$8*$K$8))*$K$9))/($K$8*SQRT($K$9))</f>
        <v>1.3115124370617821</v>
      </c>
      <c r="L11" s="22">
        <f>(LN($K$2/L5)+(($K$6-$K$7+(0.5*$K$8*$K$8))*$K$9))/($K$8*SQRT($K$9))</f>
        <v>1.3115120203951416</v>
      </c>
      <c r="M11" s="22">
        <f>(LN($K$2/M5)+(($K$6-$K$7+(0.5*$K$8*$K$8))*$K$9))/($K$8*SQRT($K$9))</f>
        <v>1.3115124370617821</v>
      </c>
      <c r="N11" s="22">
        <f>(LN($K$2/N5)+(($K$6-$K$7+(0.5*$K$8*$K$8))*$K$9))/($K$8*SQRT($K$9))</f>
        <v>0.56770059934774986</v>
      </c>
      <c r="AL11" s="17">
        <f t="shared" si="10"/>
        <v>12</v>
      </c>
      <c r="AM11" s="17">
        <f t="shared" si="9"/>
        <v>24</v>
      </c>
    </row>
    <row r="12" spans="1:39" x14ac:dyDescent="0.25">
      <c r="A12" s="28">
        <f t="shared" si="8"/>
        <v>78</v>
      </c>
      <c r="B12" s="29">
        <f t="shared" si="1"/>
        <v>0</v>
      </c>
      <c r="C12" s="30">
        <f t="shared" si="2"/>
        <v>0</v>
      </c>
      <c r="D12" s="30">
        <f t="shared" si="3"/>
        <v>0</v>
      </c>
      <c r="E12" s="30">
        <f t="shared" si="4"/>
        <v>0</v>
      </c>
      <c r="F12" s="31">
        <f t="shared" si="5"/>
        <v>0</v>
      </c>
      <c r="G12" s="40">
        <f t="shared" si="6"/>
        <v>0</v>
      </c>
      <c r="H12" s="41">
        <f t="shared" si="7"/>
        <v>0</v>
      </c>
      <c r="I12" s="24"/>
      <c r="J12" s="29" t="s">
        <v>3</v>
      </c>
      <c r="K12" s="34">
        <f>K11-($K$8*SQRT($K$9))</f>
        <v>1.0115124370617821</v>
      </c>
      <c r="L12" s="34">
        <f>L11-($K$8*SQRT($K$9))</f>
        <v>1.0115120203951415</v>
      </c>
      <c r="M12" s="34">
        <f>M11-($K$8*SQRT($K$9))</f>
        <v>1.0115124370617821</v>
      </c>
      <c r="N12" s="34">
        <f>N11-($K$8*SQRT($K$9))</f>
        <v>0.26770059934774987</v>
      </c>
      <c r="AL12" s="17">
        <f t="shared" si="10"/>
        <v>14</v>
      </c>
      <c r="AM12" s="17">
        <f t="shared" si="9"/>
        <v>76</v>
      </c>
    </row>
    <row r="13" spans="1:39" x14ac:dyDescent="0.25">
      <c r="A13" s="28">
        <f t="shared" si="8"/>
        <v>79</v>
      </c>
      <c r="B13" s="29">
        <f t="shared" si="1"/>
        <v>0</v>
      </c>
      <c r="C13" s="30">
        <f t="shared" si="2"/>
        <v>0</v>
      </c>
      <c r="D13" s="30">
        <f t="shared" si="3"/>
        <v>0</v>
      </c>
      <c r="E13" s="30">
        <f t="shared" si="4"/>
        <v>0</v>
      </c>
      <c r="F13" s="31">
        <f t="shared" si="5"/>
        <v>0</v>
      </c>
      <c r="G13" s="40">
        <f t="shared" si="6"/>
        <v>0</v>
      </c>
      <c r="H13" s="41">
        <f t="shared" si="7"/>
        <v>0</v>
      </c>
      <c r="I13" s="19"/>
      <c r="J13" s="35" t="s">
        <v>44</v>
      </c>
      <c r="K13" s="36">
        <f>IF(K3="C",($K$2*EXP(-$K$7*$K$9)*NORMSDIST(K11))-(K5*EXP(-$K$6*$K$9)*NORMSDIST(K12)),(-$K$2*EXP(-$K$7*$K$9)*NORMSDIST(-K11))-(-K5*EXP(-$K$6*$K$9)*NORMSDIST(-K12)))</f>
        <v>33.695335326678219</v>
      </c>
      <c r="L13" s="36">
        <f>IF(L3="C",($K$2*EXP(-$K$7*$K$9)*NORMSDIST(L11))-(L5*EXP(-$K$6*$K$9)*NORMSDIST(L12)),(-$K$2*EXP(-$K$7*$K$9)*NORMSDIST(-L11))-(-L5*EXP(-$K$6*$K$9)*NORMSDIST(-L12)))</f>
        <v>33.695327216516844</v>
      </c>
      <c r="M13" s="36">
        <f>IF(M3="C",($K$2*EXP(-$K$7*$K$9)*NORMSDIST(M11))-(M5*EXP(-$K$6*$K$9)*NORMSDIST(M12)),(-$K$2*EXP(-$K$7*$K$9)*NORMSDIST(-M11))-(-M5*EXP(-$K$6*$K$9)*NORMSDIST(-M12)))</f>
        <v>33.695335326678219</v>
      </c>
      <c r="N13" s="36">
        <f>IF(N3="C",($K$2*EXP(-$K$7*$K$9)*NORMSDIST(N11))-(N5*EXP(-$K$6*$K$9)*NORMSDIST(N12)),(-$K$2*EXP(-$K$7*$K$9)*NORMSDIST(-N11))-(-N5*EXP(-$K$6*$K$9)*NORMSDIST(-N12)))</f>
        <v>19.675270711581121</v>
      </c>
      <c r="AL13" s="17">
        <f t="shared" si="10"/>
        <v>16</v>
      </c>
      <c r="AM13" s="17">
        <f t="shared" si="9"/>
        <v>136</v>
      </c>
    </row>
    <row r="14" spans="1:39" x14ac:dyDescent="0.25">
      <c r="A14" s="28">
        <f t="shared" si="8"/>
        <v>80</v>
      </c>
      <c r="B14" s="29">
        <f t="shared" si="1"/>
        <v>0</v>
      </c>
      <c r="C14" s="30">
        <f t="shared" si="2"/>
        <v>0</v>
      </c>
      <c r="D14" s="30">
        <f t="shared" si="3"/>
        <v>0</v>
      </c>
      <c r="E14" s="30">
        <f t="shared" si="4"/>
        <v>0</v>
      </c>
      <c r="F14" s="31">
        <f t="shared" si="5"/>
        <v>0</v>
      </c>
      <c r="G14" s="40">
        <f t="shared" si="6"/>
        <v>0</v>
      </c>
      <c r="H14" s="41">
        <f t="shared" si="7"/>
        <v>0</v>
      </c>
      <c r="J14" s="21" t="s">
        <v>50</v>
      </c>
      <c r="K14" s="42">
        <f>SUMPRODUCT(K4:N4,K13:N13)</f>
        <v>2.2002581279611064</v>
      </c>
      <c r="AL14" s="17">
        <f t="shared" si="10"/>
        <v>18</v>
      </c>
      <c r="AM14" s="17">
        <f t="shared" si="9"/>
        <v>204</v>
      </c>
    </row>
    <row r="15" spans="1:39" x14ac:dyDescent="0.25">
      <c r="A15" s="28">
        <f t="shared" si="8"/>
        <v>81</v>
      </c>
      <c r="B15" s="29">
        <f t="shared" si="1"/>
        <v>2000000</v>
      </c>
      <c r="C15" s="30">
        <f t="shared" si="2"/>
        <v>-1999979.9999999937</v>
      </c>
      <c r="D15" s="30">
        <f t="shared" si="3"/>
        <v>-1</v>
      </c>
      <c r="E15" s="30">
        <f t="shared" si="4"/>
        <v>0</v>
      </c>
      <c r="F15" s="31">
        <f t="shared" si="5"/>
        <v>19.000000006286427</v>
      </c>
      <c r="G15" s="40">
        <f t="shared" si="6"/>
        <v>19</v>
      </c>
      <c r="H15" s="41">
        <f t="shared" si="7"/>
        <v>6.28642737865448E-9</v>
      </c>
      <c r="AL15" s="17">
        <f t="shared" si="10"/>
        <v>20</v>
      </c>
      <c r="AM15" s="17">
        <f t="shared" si="9"/>
        <v>280</v>
      </c>
    </row>
    <row r="16" spans="1:39" ht="13" thickBot="1" x14ac:dyDescent="0.3">
      <c r="A16" s="28">
        <f t="shared" si="8"/>
        <v>82</v>
      </c>
      <c r="B16" s="29">
        <f t="shared" si="1"/>
        <v>4000000</v>
      </c>
      <c r="C16" s="30">
        <f t="shared" si="2"/>
        <v>-3999979.9999999935</v>
      </c>
      <c r="D16" s="30">
        <f t="shared" si="3"/>
        <v>-2</v>
      </c>
      <c r="E16" s="30">
        <f t="shared" si="4"/>
        <v>0</v>
      </c>
      <c r="F16" s="31">
        <f t="shared" si="5"/>
        <v>18.000000006519258</v>
      </c>
      <c r="G16" s="40">
        <f t="shared" si="6"/>
        <v>18</v>
      </c>
      <c r="H16" s="41">
        <f t="shared" si="7"/>
        <v>6.5192580223083496E-9</v>
      </c>
      <c r="AL16" s="17">
        <f t="shared" si="10"/>
        <v>22</v>
      </c>
      <c r="AM16" s="17">
        <f t="shared" si="9"/>
        <v>364</v>
      </c>
    </row>
    <row r="17" spans="1:39" ht="13" thickBot="1" x14ac:dyDescent="0.3">
      <c r="A17" s="28">
        <f t="shared" si="8"/>
        <v>83</v>
      </c>
      <c r="B17" s="29">
        <f t="shared" si="1"/>
        <v>6000000</v>
      </c>
      <c r="C17" s="30">
        <f t="shared" si="2"/>
        <v>-5999979.9999999935</v>
      </c>
      <c r="D17" s="30">
        <f t="shared" si="3"/>
        <v>-3</v>
      </c>
      <c r="E17" s="30">
        <f t="shared" si="4"/>
        <v>0</v>
      </c>
      <c r="F17" s="31">
        <f t="shared" si="5"/>
        <v>17.000000006519258</v>
      </c>
      <c r="G17" s="40">
        <f t="shared" si="6"/>
        <v>17</v>
      </c>
      <c r="H17" s="41">
        <f t="shared" si="7"/>
        <v>6.5192580223083496E-9</v>
      </c>
      <c r="J17" s="179" t="s">
        <v>54</v>
      </c>
      <c r="K17" s="180"/>
      <c r="AL17" s="17">
        <f t="shared" si="10"/>
        <v>24</v>
      </c>
      <c r="AM17" s="17">
        <f t="shared" si="9"/>
        <v>456</v>
      </c>
    </row>
    <row r="18" spans="1:39" x14ac:dyDescent="0.25">
      <c r="A18" s="28">
        <f t="shared" si="8"/>
        <v>84</v>
      </c>
      <c r="B18" s="29">
        <f t="shared" si="1"/>
        <v>8000000</v>
      </c>
      <c r="C18" s="30">
        <f t="shared" si="2"/>
        <v>-7999979.9999999935</v>
      </c>
      <c r="D18" s="30">
        <f t="shared" si="3"/>
        <v>-4</v>
      </c>
      <c r="E18" s="30">
        <f t="shared" si="4"/>
        <v>0</v>
      </c>
      <c r="F18" s="31">
        <f t="shared" si="5"/>
        <v>16.000000006519258</v>
      </c>
      <c r="G18" s="40">
        <f t="shared" si="6"/>
        <v>16</v>
      </c>
      <c r="H18" s="41">
        <f t="shared" si="7"/>
        <v>6.5192580223083496E-9</v>
      </c>
      <c r="J18" s="45" t="s">
        <v>52</v>
      </c>
      <c r="K18" s="43">
        <v>80</v>
      </c>
      <c r="AL18" s="17">
        <f t="shared" si="10"/>
        <v>26</v>
      </c>
      <c r="AM18" s="17">
        <f t="shared" si="9"/>
        <v>556</v>
      </c>
    </row>
    <row r="19" spans="1:39" x14ac:dyDescent="0.25">
      <c r="A19" s="28">
        <f t="shared" si="8"/>
        <v>85</v>
      </c>
      <c r="B19" s="29">
        <f t="shared" si="1"/>
        <v>10000000</v>
      </c>
      <c r="C19" s="30">
        <f t="shared" si="2"/>
        <v>-9999979.9999999944</v>
      </c>
      <c r="D19" s="30">
        <f t="shared" si="3"/>
        <v>-5</v>
      </c>
      <c r="E19" s="30">
        <f t="shared" si="4"/>
        <v>0</v>
      </c>
      <c r="F19" s="31">
        <f t="shared" si="5"/>
        <v>15.000000005587935</v>
      </c>
      <c r="G19" s="40">
        <f t="shared" si="6"/>
        <v>15</v>
      </c>
      <c r="H19" s="41">
        <f t="shared" si="7"/>
        <v>5.5879354476928711E-9</v>
      </c>
      <c r="J19" s="44" t="s">
        <v>53</v>
      </c>
      <c r="K19" s="43">
        <v>100</v>
      </c>
      <c r="AL19" s="17">
        <f t="shared" si="10"/>
        <v>28</v>
      </c>
      <c r="AM19" s="17">
        <f t="shared" si="9"/>
        <v>664</v>
      </c>
    </row>
    <row r="20" spans="1:39" ht="13" x14ac:dyDescent="0.3">
      <c r="A20" s="28">
        <f t="shared" si="8"/>
        <v>86</v>
      </c>
      <c r="B20" s="29">
        <f t="shared" si="1"/>
        <v>12000000</v>
      </c>
      <c r="C20" s="30">
        <f t="shared" si="2"/>
        <v>-11999979.999999994</v>
      </c>
      <c r="D20" s="30">
        <f t="shared" si="3"/>
        <v>-6</v>
      </c>
      <c r="E20" s="30">
        <f t="shared" si="4"/>
        <v>0</v>
      </c>
      <c r="F20" s="31">
        <f t="shared" si="5"/>
        <v>14.000000005587935</v>
      </c>
      <c r="G20" s="40">
        <f t="shared" si="6"/>
        <v>14</v>
      </c>
      <c r="H20" s="41">
        <f t="shared" si="7"/>
        <v>5.5879354476928711E-9</v>
      </c>
      <c r="J20" s="44" t="s">
        <v>51</v>
      </c>
      <c r="K20" s="46">
        <f>K13-L13-((K19-K18)*NORMSDIST(L12)*EXP(-K6*K9))</f>
        <v>-16.220313690642392</v>
      </c>
      <c r="AL20" s="17">
        <f t="shared" si="10"/>
        <v>30</v>
      </c>
      <c r="AM20" s="17">
        <f t="shared" si="9"/>
        <v>780</v>
      </c>
    </row>
    <row r="21" spans="1:39" x14ac:dyDescent="0.25">
      <c r="A21" s="28">
        <f t="shared" si="8"/>
        <v>87</v>
      </c>
      <c r="B21" s="29">
        <f t="shared" si="1"/>
        <v>14000000</v>
      </c>
      <c r="C21" s="30">
        <f t="shared" si="2"/>
        <v>-13999979.999999994</v>
      </c>
      <c r="D21" s="30">
        <f t="shared" si="3"/>
        <v>-7</v>
      </c>
      <c r="E21" s="30">
        <f t="shared" si="4"/>
        <v>0</v>
      </c>
      <c r="F21" s="31">
        <f t="shared" si="5"/>
        <v>13.000000005587935</v>
      </c>
      <c r="G21" s="40">
        <f t="shared" si="6"/>
        <v>13</v>
      </c>
      <c r="H21" s="41">
        <f t="shared" si="7"/>
        <v>5.5879354476928711E-9</v>
      </c>
      <c r="AL21" s="17">
        <f t="shared" si="10"/>
        <v>32</v>
      </c>
      <c r="AM21" s="17">
        <f t="shared" si="9"/>
        <v>904</v>
      </c>
    </row>
    <row r="22" spans="1:39" x14ac:dyDescent="0.25">
      <c r="A22" s="28">
        <f t="shared" si="8"/>
        <v>88</v>
      </c>
      <c r="B22" s="29">
        <f t="shared" si="1"/>
        <v>16000000</v>
      </c>
      <c r="C22" s="30">
        <f t="shared" si="2"/>
        <v>-15999979.999999994</v>
      </c>
      <c r="D22" s="30">
        <f t="shared" si="3"/>
        <v>-8</v>
      </c>
      <c r="E22" s="30">
        <f t="shared" si="4"/>
        <v>0</v>
      </c>
      <c r="F22" s="31">
        <f t="shared" si="5"/>
        <v>12.000000005587935</v>
      </c>
      <c r="G22" s="40">
        <f t="shared" si="6"/>
        <v>12</v>
      </c>
      <c r="H22" s="41">
        <f t="shared" si="7"/>
        <v>5.5879354476928711E-9</v>
      </c>
      <c r="AL22" s="17">
        <f t="shared" si="10"/>
        <v>34</v>
      </c>
      <c r="AM22" s="17">
        <f t="shared" si="9"/>
        <v>1036</v>
      </c>
    </row>
    <row r="23" spans="1:39" x14ac:dyDescent="0.25">
      <c r="A23" s="28">
        <f t="shared" si="8"/>
        <v>89</v>
      </c>
      <c r="B23" s="29">
        <f t="shared" si="1"/>
        <v>18000000</v>
      </c>
      <c r="C23" s="30">
        <f t="shared" si="2"/>
        <v>-17999979.999999993</v>
      </c>
      <c r="D23" s="30">
        <f t="shared" si="3"/>
        <v>-9</v>
      </c>
      <c r="E23" s="30">
        <f t="shared" si="4"/>
        <v>0</v>
      </c>
      <c r="F23" s="31">
        <f t="shared" si="5"/>
        <v>11.000000007450581</v>
      </c>
      <c r="G23" s="40">
        <f t="shared" si="6"/>
        <v>11</v>
      </c>
      <c r="H23" s="41">
        <f t="shared" si="7"/>
        <v>7.4505805969238281E-9</v>
      </c>
      <c r="AL23" s="17">
        <f t="shared" si="10"/>
        <v>36</v>
      </c>
      <c r="AM23" s="17">
        <f t="shared" si="9"/>
        <v>1176</v>
      </c>
    </row>
    <row r="24" spans="1:39" x14ac:dyDescent="0.25">
      <c r="A24" s="28">
        <f t="shared" si="8"/>
        <v>90</v>
      </c>
      <c r="B24" s="29">
        <f t="shared" si="1"/>
        <v>20000000</v>
      </c>
      <c r="C24" s="30">
        <f t="shared" si="2"/>
        <v>-19999979.999999993</v>
      </c>
      <c r="D24" s="30">
        <f t="shared" si="3"/>
        <v>-10</v>
      </c>
      <c r="E24" s="30">
        <f t="shared" si="4"/>
        <v>0</v>
      </c>
      <c r="F24" s="31">
        <f t="shared" si="5"/>
        <v>10.000000007450581</v>
      </c>
      <c r="G24" s="40">
        <f t="shared" si="6"/>
        <v>10</v>
      </c>
      <c r="H24" s="41">
        <f t="shared" si="7"/>
        <v>7.4505805969238281E-9</v>
      </c>
      <c r="AL24" s="17">
        <f t="shared" si="10"/>
        <v>38</v>
      </c>
      <c r="AM24" s="17">
        <f t="shared" si="9"/>
        <v>1324</v>
      </c>
    </row>
    <row r="25" spans="1:39" x14ac:dyDescent="0.25">
      <c r="A25" s="28">
        <f t="shared" si="8"/>
        <v>91</v>
      </c>
      <c r="B25" s="29">
        <f t="shared" si="1"/>
        <v>22000000</v>
      </c>
      <c r="C25" s="30">
        <f t="shared" si="2"/>
        <v>-21999979.999999993</v>
      </c>
      <c r="D25" s="30">
        <f t="shared" si="3"/>
        <v>-11</v>
      </c>
      <c r="E25" s="30">
        <f t="shared" si="4"/>
        <v>0</v>
      </c>
      <c r="F25" s="31">
        <f t="shared" si="5"/>
        <v>9.0000000074505806</v>
      </c>
      <c r="G25" s="40">
        <f t="shared" si="6"/>
        <v>9</v>
      </c>
      <c r="H25" s="41">
        <f t="shared" si="7"/>
        <v>7.4505805969238281E-9</v>
      </c>
      <c r="I25" s="37"/>
      <c r="AL25" s="17">
        <f t="shared" si="10"/>
        <v>40</v>
      </c>
      <c r="AM25" s="17">
        <f t="shared" si="9"/>
        <v>1480</v>
      </c>
    </row>
    <row r="26" spans="1:39" x14ac:dyDescent="0.25">
      <c r="A26" s="28">
        <f t="shared" si="8"/>
        <v>92</v>
      </c>
      <c r="B26" s="29">
        <f t="shared" si="1"/>
        <v>24000000</v>
      </c>
      <c r="C26" s="30">
        <f t="shared" si="2"/>
        <v>-23999979.999999993</v>
      </c>
      <c r="D26" s="30">
        <f t="shared" si="3"/>
        <v>-12</v>
      </c>
      <c r="E26" s="30">
        <f t="shared" si="4"/>
        <v>0</v>
      </c>
      <c r="F26" s="31">
        <f t="shared" si="5"/>
        <v>8.0000000074505806</v>
      </c>
      <c r="G26" s="40">
        <f t="shared" si="6"/>
        <v>8</v>
      </c>
      <c r="H26" s="41">
        <f t="shared" si="7"/>
        <v>7.4505805969238281E-9</v>
      </c>
      <c r="AL26" s="17">
        <f t="shared" si="10"/>
        <v>42</v>
      </c>
      <c r="AM26" s="17">
        <f t="shared" si="9"/>
        <v>1644</v>
      </c>
    </row>
    <row r="27" spans="1:39" x14ac:dyDescent="0.25">
      <c r="A27" s="28">
        <f t="shared" si="8"/>
        <v>93</v>
      </c>
      <c r="B27" s="29">
        <f t="shared" si="1"/>
        <v>26000000</v>
      </c>
      <c r="C27" s="30">
        <f t="shared" si="2"/>
        <v>-25999979.999999993</v>
      </c>
      <c r="D27" s="30">
        <f t="shared" si="3"/>
        <v>-13</v>
      </c>
      <c r="E27" s="30">
        <f t="shared" si="4"/>
        <v>0</v>
      </c>
      <c r="F27" s="31">
        <f t="shared" si="5"/>
        <v>7.0000000074505806</v>
      </c>
      <c r="G27" s="40">
        <f t="shared" si="6"/>
        <v>7</v>
      </c>
      <c r="H27" s="41">
        <f t="shared" si="7"/>
        <v>7.4505805969238281E-9</v>
      </c>
      <c r="AL27" s="17">
        <f t="shared" si="10"/>
        <v>44</v>
      </c>
      <c r="AM27" s="17">
        <f t="shared" si="9"/>
        <v>1816</v>
      </c>
    </row>
    <row r="28" spans="1:39" x14ac:dyDescent="0.25">
      <c r="A28" s="28">
        <f t="shared" si="8"/>
        <v>94</v>
      </c>
      <c r="B28" s="29">
        <f t="shared" si="1"/>
        <v>28000000</v>
      </c>
      <c r="C28" s="30">
        <f t="shared" si="2"/>
        <v>-27999979.999999993</v>
      </c>
      <c r="D28" s="30">
        <f t="shared" si="3"/>
        <v>-14</v>
      </c>
      <c r="E28" s="30">
        <f t="shared" si="4"/>
        <v>0</v>
      </c>
      <c r="F28" s="31">
        <f t="shared" si="5"/>
        <v>6.0000000074505806</v>
      </c>
      <c r="G28" s="40">
        <f t="shared" si="6"/>
        <v>6</v>
      </c>
      <c r="H28" s="41">
        <f t="shared" si="7"/>
        <v>7.4505805969238281E-9</v>
      </c>
      <c r="AL28" s="17">
        <f t="shared" si="10"/>
        <v>46</v>
      </c>
      <c r="AM28" s="17">
        <f t="shared" si="9"/>
        <v>1996</v>
      </c>
    </row>
    <row r="29" spans="1:39" x14ac:dyDescent="0.25">
      <c r="A29" s="28">
        <f t="shared" si="8"/>
        <v>95</v>
      </c>
      <c r="B29" s="29">
        <f t="shared" si="1"/>
        <v>30000000</v>
      </c>
      <c r="C29" s="30">
        <f t="shared" si="2"/>
        <v>-29999979.999999993</v>
      </c>
      <c r="D29" s="30">
        <f t="shared" si="3"/>
        <v>-15</v>
      </c>
      <c r="E29" s="30">
        <f t="shared" si="4"/>
        <v>0</v>
      </c>
      <c r="F29" s="31">
        <f t="shared" si="5"/>
        <v>5.0000000074505806</v>
      </c>
      <c r="G29" s="40">
        <f t="shared" si="6"/>
        <v>5</v>
      </c>
      <c r="H29" s="41">
        <f t="shared" si="7"/>
        <v>7.4505805969238281E-9</v>
      </c>
      <c r="AL29" s="17">
        <f t="shared" si="10"/>
        <v>48</v>
      </c>
      <c r="AM29" s="17">
        <f t="shared" si="9"/>
        <v>2184</v>
      </c>
    </row>
    <row r="30" spans="1:39" x14ac:dyDescent="0.25">
      <c r="A30" s="28">
        <f t="shared" si="8"/>
        <v>96</v>
      </c>
      <c r="B30" s="29">
        <f t="shared" si="1"/>
        <v>32000000</v>
      </c>
      <c r="C30" s="30">
        <f t="shared" si="2"/>
        <v>-31999979.999999993</v>
      </c>
      <c r="D30" s="30">
        <f t="shared" si="3"/>
        <v>-16</v>
      </c>
      <c r="E30" s="30">
        <f t="shared" si="4"/>
        <v>0</v>
      </c>
      <c r="F30" s="31">
        <f t="shared" si="5"/>
        <v>4.0000000074505806</v>
      </c>
      <c r="G30" s="40">
        <f t="shared" si="6"/>
        <v>4</v>
      </c>
      <c r="H30" s="41">
        <f t="shared" si="7"/>
        <v>7.4505805969238281E-9</v>
      </c>
      <c r="AL30" s="17">
        <f t="shared" si="10"/>
        <v>50</v>
      </c>
      <c r="AM30" s="17">
        <f t="shared" si="9"/>
        <v>2380</v>
      </c>
    </row>
    <row r="31" spans="1:39" x14ac:dyDescent="0.25">
      <c r="A31" s="28">
        <f t="shared" si="8"/>
        <v>97</v>
      </c>
      <c r="B31" s="29">
        <f t="shared" si="1"/>
        <v>34000000</v>
      </c>
      <c r="C31" s="30">
        <f t="shared" si="2"/>
        <v>-33999979.999999993</v>
      </c>
      <c r="D31" s="30">
        <f t="shared" si="3"/>
        <v>-17</v>
      </c>
      <c r="E31" s="30">
        <f t="shared" si="4"/>
        <v>0</v>
      </c>
      <c r="F31" s="31">
        <f t="shared" si="5"/>
        <v>3.0000000074505806</v>
      </c>
      <c r="G31" s="40">
        <f t="shared" si="6"/>
        <v>3</v>
      </c>
      <c r="H31" s="41">
        <f t="shared" si="7"/>
        <v>7.4505805969238281E-9</v>
      </c>
      <c r="AL31" s="17">
        <f t="shared" si="10"/>
        <v>52</v>
      </c>
      <c r="AM31" s="17">
        <f t="shared" si="9"/>
        <v>2584</v>
      </c>
    </row>
    <row r="32" spans="1:39" x14ac:dyDescent="0.25">
      <c r="A32" s="28">
        <f t="shared" si="8"/>
        <v>98</v>
      </c>
      <c r="B32" s="29">
        <f t="shared" si="1"/>
        <v>36000000</v>
      </c>
      <c r="C32" s="30">
        <f t="shared" si="2"/>
        <v>-35999979.999999993</v>
      </c>
      <c r="D32" s="30">
        <f t="shared" si="3"/>
        <v>-18</v>
      </c>
      <c r="E32" s="30">
        <f t="shared" si="4"/>
        <v>0</v>
      </c>
      <c r="F32" s="31">
        <f t="shared" si="5"/>
        <v>2.0000000074505806</v>
      </c>
      <c r="G32" s="40">
        <f t="shared" si="6"/>
        <v>2</v>
      </c>
      <c r="H32" s="41">
        <f t="shared" si="7"/>
        <v>7.4505805969238281E-9</v>
      </c>
      <c r="AL32" s="17">
        <f t="shared" si="10"/>
        <v>54</v>
      </c>
      <c r="AM32" s="17">
        <f t="shared" si="9"/>
        <v>2796</v>
      </c>
    </row>
    <row r="33" spans="1:39" x14ac:dyDescent="0.25">
      <c r="A33" s="28">
        <f t="shared" si="8"/>
        <v>99</v>
      </c>
      <c r="B33" s="29">
        <f t="shared" si="1"/>
        <v>38000000</v>
      </c>
      <c r="C33" s="30">
        <f t="shared" si="2"/>
        <v>-37999979.999999993</v>
      </c>
      <c r="D33" s="30">
        <f t="shared" si="3"/>
        <v>-19</v>
      </c>
      <c r="E33" s="30">
        <f t="shared" si="4"/>
        <v>0</v>
      </c>
      <c r="F33" s="31">
        <f t="shared" si="5"/>
        <v>1.0000000074505806</v>
      </c>
      <c r="G33" s="40">
        <f t="shared" si="6"/>
        <v>1</v>
      </c>
      <c r="H33" s="41">
        <f t="shared" si="7"/>
        <v>7.4505805969238281E-9</v>
      </c>
      <c r="AL33" s="17">
        <f t="shared" si="10"/>
        <v>56</v>
      </c>
      <c r="AM33" s="17">
        <f t="shared" si="9"/>
        <v>3016</v>
      </c>
    </row>
    <row r="34" spans="1:39" x14ac:dyDescent="0.25">
      <c r="A34" s="28">
        <f t="shared" si="8"/>
        <v>100</v>
      </c>
      <c r="B34" s="29">
        <f t="shared" si="1"/>
        <v>40000000</v>
      </c>
      <c r="C34" s="30">
        <f t="shared" si="2"/>
        <v>-39999979.999999993</v>
      </c>
      <c r="D34" s="30">
        <f t="shared" si="3"/>
        <v>-20</v>
      </c>
      <c r="E34" s="30">
        <f t="shared" si="4"/>
        <v>0</v>
      </c>
      <c r="F34" s="31">
        <f t="shared" si="5"/>
        <v>7.4505805969238281E-9</v>
      </c>
      <c r="G34" s="40">
        <f t="shared" si="6"/>
        <v>0</v>
      </c>
      <c r="H34" s="41">
        <f t="shared" si="7"/>
        <v>7.4505805969238281E-9</v>
      </c>
      <c r="AL34" s="17">
        <f t="shared" si="10"/>
        <v>58</v>
      </c>
      <c r="AM34" s="17">
        <f t="shared" si="9"/>
        <v>3244</v>
      </c>
    </row>
    <row r="35" spans="1:39" x14ac:dyDescent="0.25">
      <c r="A35" s="28">
        <f t="shared" si="8"/>
        <v>101</v>
      </c>
      <c r="B35" s="29">
        <f t="shared" si="1"/>
        <v>42000000</v>
      </c>
      <c r="C35" s="30">
        <f t="shared" si="2"/>
        <v>-41999979.999999993</v>
      </c>
      <c r="D35" s="30">
        <f t="shared" si="3"/>
        <v>-21</v>
      </c>
      <c r="E35" s="30">
        <f t="shared" si="4"/>
        <v>1</v>
      </c>
      <c r="F35" s="31">
        <f t="shared" si="5"/>
        <v>7.4505805969238281E-9</v>
      </c>
      <c r="G35" s="40">
        <f t="shared" si="6"/>
        <v>0</v>
      </c>
      <c r="H35" s="41">
        <f t="shared" si="7"/>
        <v>7.4505805969238281E-9</v>
      </c>
      <c r="AL35" s="17">
        <f t="shared" si="10"/>
        <v>60</v>
      </c>
      <c r="AM35" s="17">
        <f t="shared" si="9"/>
        <v>3480</v>
      </c>
    </row>
    <row r="36" spans="1:39" x14ac:dyDescent="0.25">
      <c r="A36" s="28">
        <f t="shared" si="8"/>
        <v>102</v>
      </c>
      <c r="B36" s="29">
        <f t="shared" si="1"/>
        <v>44000000</v>
      </c>
      <c r="C36" s="30">
        <f t="shared" si="2"/>
        <v>-43999979.999999993</v>
      </c>
      <c r="D36" s="30">
        <f t="shared" si="3"/>
        <v>-22</v>
      </c>
      <c r="E36" s="30">
        <f t="shared" si="4"/>
        <v>2</v>
      </c>
      <c r="F36" s="31">
        <f t="shared" si="5"/>
        <v>7.4505805969238281E-9</v>
      </c>
      <c r="G36" s="40">
        <f t="shared" si="6"/>
        <v>0</v>
      </c>
      <c r="H36" s="41">
        <f t="shared" si="7"/>
        <v>7.4505805969238281E-9</v>
      </c>
      <c r="AL36" s="17">
        <f t="shared" si="10"/>
        <v>62</v>
      </c>
      <c r="AM36" s="17">
        <f t="shared" si="9"/>
        <v>3724</v>
      </c>
    </row>
    <row r="37" spans="1:39" x14ac:dyDescent="0.25">
      <c r="A37" s="28">
        <f t="shared" si="8"/>
        <v>103</v>
      </c>
      <c r="B37" s="29">
        <f t="shared" si="1"/>
        <v>46000000</v>
      </c>
      <c r="C37" s="30">
        <f t="shared" si="2"/>
        <v>-45999979.999999993</v>
      </c>
      <c r="D37" s="30">
        <f t="shared" si="3"/>
        <v>-23</v>
      </c>
      <c r="E37" s="30">
        <f t="shared" si="4"/>
        <v>3</v>
      </c>
      <c r="F37" s="31">
        <f t="shared" si="5"/>
        <v>7.4505805969238281E-9</v>
      </c>
      <c r="G37" s="40">
        <f t="shared" si="6"/>
        <v>0</v>
      </c>
      <c r="H37" s="41">
        <f t="shared" si="7"/>
        <v>7.4505805969238281E-9</v>
      </c>
      <c r="AL37" s="17">
        <f t="shared" si="10"/>
        <v>64</v>
      </c>
      <c r="AM37" s="17">
        <f t="shared" si="9"/>
        <v>3976</v>
      </c>
    </row>
    <row r="38" spans="1:39" x14ac:dyDescent="0.25">
      <c r="A38" s="28">
        <f t="shared" si="8"/>
        <v>104</v>
      </c>
      <c r="B38" s="29">
        <f t="shared" si="1"/>
        <v>48000000</v>
      </c>
      <c r="C38" s="30">
        <f t="shared" si="2"/>
        <v>-47999979.999999993</v>
      </c>
      <c r="D38" s="30">
        <f t="shared" si="3"/>
        <v>-24</v>
      </c>
      <c r="E38" s="30">
        <f t="shared" si="4"/>
        <v>4</v>
      </c>
      <c r="F38" s="31">
        <f t="shared" si="5"/>
        <v>7.4505805969238281E-9</v>
      </c>
      <c r="G38" s="40">
        <f t="shared" si="6"/>
        <v>0</v>
      </c>
      <c r="H38" s="41">
        <f t="shared" si="7"/>
        <v>7.4505805969238281E-9</v>
      </c>
      <c r="AL38" s="17">
        <f t="shared" si="10"/>
        <v>66</v>
      </c>
      <c r="AM38" s="17">
        <f t="shared" si="9"/>
        <v>4236</v>
      </c>
    </row>
    <row r="39" spans="1:39" x14ac:dyDescent="0.25">
      <c r="A39" s="28">
        <f t="shared" si="8"/>
        <v>105</v>
      </c>
      <c r="B39" s="29">
        <f t="shared" si="1"/>
        <v>50000000</v>
      </c>
      <c r="C39" s="30">
        <f t="shared" si="2"/>
        <v>-49999979.999999993</v>
      </c>
      <c r="D39" s="30">
        <f t="shared" si="3"/>
        <v>-25</v>
      </c>
      <c r="E39" s="30">
        <f t="shared" si="4"/>
        <v>5</v>
      </c>
      <c r="F39" s="31">
        <f t="shared" si="5"/>
        <v>7.4505805969238281E-9</v>
      </c>
      <c r="G39" s="40">
        <f t="shared" si="6"/>
        <v>0</v>
      </c>
      <c r="H39" s="41">
        <f t="shared" si="7"/>
        <v>7.4505805969238281E-9</v>
      </c>
      <c r="AL39" s="17">
        <f t="shared" si="10"/>
        <v>68</v>
      </c>
      <c r="AM39" s="17">
        <f t="shared" si="9"/>
        <v>4504</v>
      </c>
    </row>
    <row r="40" spans="1:39" x14ac:dyDescent="0.25">
      <c r="A40" s="28">
        <f t="shared" si="8"/>
        <v>106</v>
      </c>
      <c r="B40" s="29">
        <f t="shared" si="1"/>
        <v>52000000</v>
      </c>
      <c r="C40" s="30">
        <f t="shared" si="2"/>
        <v>-51999979.999999993</v>
      </c>
      <c r="D40" s="30">
        <f t="shared" si="3"/>
        <v>-26</v>
      </c>
      <c r="E40" s="30">
        <f t="shared" si="4"/>
        <v>6</v>
      </c>
      <c r="F40" s="31">
        <f t="shared" si="5"/>
        <v>7.4505805969238281E-9</v>
      </c>
      <c r="G40" s="40">
        <f t="shared" si="6"/>
        <v>0</v>
      </c>
      <c r="H40" s="41">
        <f t="shared" si="7"/>
        <v>7.4505805969238281E-9</v>
      </c>
      <c r="AL40" s="17">
        <f t="shared" si="10"/>
        <v>70</v>
      </c>
      <c r="AM40" s="17">
        <f t="shared" si="9"/>
        <v>4780</v>
      </c>
    </row>
    <row r="41" spans="1:39" x14ac:dyDescent="0.25">
      <c r="A41" s="28">
        <f t="shared" si="8"/>
        <v>107</v>
      </c>
      <c r="B41" s="29">
        <f t="shared" si="1"/>
        <v>54000000</v>
      </c>
      <c r="C41" s="30">
        <f t="shared" si="2"/>
        <v>-53999979.999999993</v>
      </c>
      <c r="D41" s="30">
        <f t="shared" si="3"/>
        <v>-27</v>
      </c>
      <c r="E41" s="30">
        <f t="shared" si="4"/>
        <v>7</v>
      </c>
      <c r="F41" s="31">
        <f t="shared" si="5"/>
        <v>7.4505805969238281E-9</v>
      </c>
      <c r="G41" s="40">
        <f t="shared" si="6"/>
        <v>0</v>
      </c>
      <c r="H41" s="41">
        <f t="shared" si="7"/>
        <v>7.4505805969238281E-9</v>
      </c>
      <c r="AL41" s="17">
        <f t="shared" si="10"/>
        <v>72</v>
      </c>
      <c r="AM41" s="17">
        <f t="shared" si="9"/>
        <v>5064</v>
      </c>
    </row>
    <row r="42" spans="1:39" x14ac:dyDescent="0.25">
      <c r="A42" s="28">
        <f t="shared" si="8"/>
        <v>108</v>
      </c>
      <c r="B42" s="29">
        <f t="shared" si="1"/>
        <v>56000000</v>
      </c>
      <c r="C42" s="30">
        <f t="shared" si="2"/>
        <v>-55999979.999999993</v>
      </c>
      <c r="D42" s="30">
        <f t="shared" si="3"/>
        <v>-28</v>
      </c>
      <c r="E42" s="30">
        <f t="shared" si="4"/>
        <v>8</v>
      </c>
      <c r="F42" s="31">
        <f t="shared" si="5"/>
        <v>7.4505805969238281E-9</v>
      </c>
      <c r="G42" s="40">
        <f t="shared" si="6"/>
        <v>0</v>
      </c>
      <c r="H42" s="41">
        <f t="shared" si="7"/>
        <v>7.4505805969238281E-9</v>
      </c>
      <c r="AL42" s="17">
        <f t="shared" si="10"/>
        <v>74</v>
      </c>
      <c r="AM42" s="17">
        <f t="shared" si="9"/>
        <v>5356</v>
      </c>
    </row>
    <row r="43" spans="1:39" x14ac:dyDescent="0.25">
      <c r="A43" s="28">
        <f t="shared" si="8"/>
        <v>109</v>
      </c>
      <c r="B43" s="29">
        <f t="shared" si="1"/>
        <v>58000000</v>
      </c>
      <c r="C43" s="30">
        <f t="shared" si="2"/>
        <v>-57999979.999999993</v>
      </c>
      <c r="D43" s="30">
        <f t="shared" si="3"/>
        <v>-29</v>
      </c>
      <c r="E43" s="30">
        <f t="shared" si="4"/>
        <v>9</v>
      </c>
      <c r="F43" s="31">
        <f t="shared" si="5"/>
        <v>7.4505805969238281E-9</v>
      </c>
      <c r="G43" s="40">
        <f t="shared" si="6"/>
        <v>0</v>
      </c>
      <c r="H43" s="41">
        <f t="shared" si="7"/>
        <v>7.4505805969238281E-9</v>
      </c>
      <c r="AL43" s="17">
        <f t="shared" si="10"/>
        <v>76</v>
      </c>
      <c r="AM43" s="17">
        <f t="shared" si="9"/>
        <v>5656</v>
      </c>
    </row>
    <row r="44" spans="1:39" x14ac:dyDescent="0.25">
      <c r="A44" s="28">
        <f t="shared" si="8"/>
        <v>110</v>
      </c>
      <c r="B44" s="29">
        <f t="shared" si="1"/>
        <v>60000000</v>
      </c>
      <c r="C44" s="30">
        <f t="shared" si="2"/>
        <v>-59999979.999999993</v>
      </c>
      <c r="D44" s="30">
        <f t="shared" si="3"/>
        <v>-30</v>
      </c>
      <c r="E44" s="30">
        <f t="shared" si="4"/>
        <v>10</v>
      </c>
      <c r="F44" s="31">
        <f t="shared" si="5"/>
        <v>7.4505805969238281E-9</v>
      </c>
      <c r="G44" s="40">
        <f t="shared" si="6"/>
        <v>0</v>
      </c>
      <c r="H44" s="41">
        <f t="shared" si="7"/>
        <v>7.4505805969238281E-9</v>
      </c>
      <c r="AL44" s="17">
        <f t="shared" si="10"/>
        <v>78</v>
      </c>
      <c r="AM44" s="17">
        <f t="shared" si="9"/>
        <v>5964</v>
      </c>
    </row>
    <row r="45" spans="1:39" x14ac:dyDescent="0.25">
      <c r="A45" s="28">
        <f t="shared" si="8"/>
        <v>111</v>
      </c>
      <c r="B45" s="29">
        <f t="shared" si="1"/>
        <v>62000000</v>
      </c>
      <c r="C45" s="30">
        <f t="shared" si="2"/>
        <v>-61999979.999999993</v>
      </c>
      <c r="D45" s="30">
        <f t="shared" si="3"/>
        <v>-31</v>
      </c>
      <c r="E45" s="30">
        <f t="shared" si="4"/>
        <v>11</v>
      </c>
      <c r="F45" s="31">
        <f t="shared" si="5"/>
        <v>7.4505805969238281E-9</v>
      </c>
      <c r="G45" s="40">
        <f t="shared" si="6"/>
        <v>0</v>
      </c>
      <c r="H45" s="41">
        <f t="shared" si="7"/>
        <v>7.4505805969238281E-9</v>
      </c>
      <c r="AL45" s="17">
        <f t="shared" si="10"/>
        <v>80</v>
      </c>
      <c r="AM45" s="17">
        <f t="shared" si="9"/>
        <v>6280</v>
      </c>
    </row>
    <row r="46" spans="1:39" x14ac:dyDescent="0.25">
      <c r="A46" s="28">
        <f t="shared" si="8"/>
        <v>112</v>
      </c>
      <c r="B46" s="29">
        <f t="shared" si="1"/>
        <v>64000000</v>
      </c>
      <c r="C46" s="30">
        <f t="shared" si="2"/>
        <v>-63999979.999999993</v>
      </c>
      <c r="D46" s="30">
        <f t="shared" si="3"/>
        <v>-32</v>
      </c>
      <c r="E46" s="30">
        <f t="shared" si="4"/>
        <v>12</v>
      </c>
      <c r="F46" s="31">
        <f t="shared" si="5"/>
        <v>7.4505805969238281E-9</v>
      </c>
      <c r="G46" s="40">
        <f t="shared" si="6"/>
        <v>0</v>
      </c>
      <c r="H46" s="41">
        <f t="shared" si="7"/>
        <v>7.4505805969238281E-9</v>
      </c>
      <c r="AL46" s="17">
        <f t="shared" si="10"/>
        <v>82</v>
      </c>
      <c r="AM46" s="17">
        <f t="shared" si="9"/>
        <v>6604</v>
      </c>
    </row>
    <row r="47" spans="1:39" x14ac:dyDescent="0.25">
      <c r="A47" s="28">
        <f t="shared" si="8"/>
        <v>113</v>
      </c>
      <c r="B47" s="29">
        <f t="shared" si="1"/>
        <v>66000000</v>
      </c>
      <c r="C47" s="30">
        <f t="shared" si="2"/>
        <v>-65999979.999999993</v>
      </c>
      <c r="D47" s="30">
        <f t="shared" si="3"/>
        <v>-33</v>
      </c>
      <c r="E47" s="30">
        <f t="shared" si="4"/>
        <v>13</v>
      </c>
      <c r="F47" s="31">
        <f t="shared" si="5"/>
        <v>7.4505805969238281E-9</v>
      </c>
      <c r="G47" s="40">
        <f t="shared" si="6"/>
        <v>0</v>
      </c>
      <c r="H47" s="41">
        <f t="shared" si="7"/>
        <v>7.4505805969238281E-9</v>
      </c>
      <c r="AL47" s="17">
        <f t="shared" si="10"/>
        <v>84</v>
      </c>
      <c r="AM47" s="17">
        <f t="shared" si="9"/>
        <v>6936</v>
      </c>
    </row>
    <row r="48" spans="1:39" x14ac:dyDescent="0.25">
      <c r="A48" s="28">
        <f t="shared" si="8"/>
        <v>114</v>
      </c>
      <c r="B48" s="29">
        <f t="shared" si="1"/>
        <v>68000000</v>
      </c>
      <c r="C48" s="30">
        <f t="shared" si="2"/>
        <v>-67999980</v>
      </c>
      <c r="D48" s="30">
        <f t="shared" si="3"/>
        <v>-34</v>
      </c>
      <c r="E48" s="30">
        <f t="shared" si="4"/>
        <v>14</v>
      </c>
      <c r="F48" s="31">
        <f t="shared" si="5"/>
        <v>0</v>
      </c>
      <c r="G48" s="40">
        <f t="shared" si="6"/>
        <v>0</v>
      </c>
      <c r="H48" s="41">
        <f t="shared" si="7"/>
        <v>0</v>
      </c>
      <c r="AL48" s="17">
        <f t="shared" si="10"/>
        <v>86</v>
      </c>
      <c r="AM48" s="17">
        <f t="shared" si="9"/>
        <v>7276</v>
      </c>
    </row>
    <row r="49" spans="1:39" x14ac:dyDescent="0.25">
      <c r="A49" s="28">
        <f t="shared" si="8"/>
        <v>115</v>
      </c>
      <c r="B49" s="29">
        <f t="shared" si="1"/>
        <v>70000000</v>
      </c>
      <c r="C49" s="30">
        <f t="shared" si="2"/>
        <v>-69999980</v>
      </c>
      <c r="D49" s="30">
        <f t="shared" si="3"/>
        <v>-35</v>
      </c>
      <c r="E49" s="30">
        <f t="shared" si="4"/>
        <v>15</v>
      </c>
      <c r="F49" s="31">
        <f t="shared" si="5"/>
        <v>0</v>
      </c>
      <c r="G49" s="40">
        <f t="shared" si="6"/>
        <v>0</v>
      </c>
      <c r="H49" s="41">
        <f t="shared" si="7"/>
        <v>0</v>
      </c>
      <c r="AL49" s="17">
        <f t="shared" si="10"/>
        <v>88</v>
      </c>
      <c r="AM49" s="17">
        <f t="shared" si="9"/>
        <v>7624</v>
      </c>
    </row>
    <row r="50" spans="1:39" x14ac:dyDescent="0.25">
      <c r="A50" s="28">
        <f t="shared" si="8"/>
        <v>116</v>
      </c>
      <c r="B50" s="29">
        <f t="shared" si="1"/>
        <v>72000000</v>
      </c>
      <c r="C50" s="30">
        <f t="shared" si="2"/>
        <v>-71999980</v>
      </c>
      <c r="D50" s="30">
        <f t="shared" si="3"/>
        <v>-36</v>
      </c>
      <c r="E50" s="30">
        <f t="shared" si="4"/>
        <v>16</v>
      </c>
      <c r="F50" s="31">
        <f t="shared" si="5"/>
        <v>0</v>
      </c>
      <c r="G50" s="40">
        <f t="shared" si="6"/>
        <v>0</v>
      </c>
      <c r="H50" s="41">
        <f t="shared" si="7"/>
        <v>0</v>
      </c>
      <c r="AL50" s="17">
        <f t="shared" si="10"/>
        <v>90</v>
      </c>
      <c r="AM50" s="17">
        <f t="shared" si="9"/>
        <v>7980</v>
      </c>
    </row>
    <row r="51" spans="1:39" x14ac:dyDescent="0.25">
      <c r="A51" s="28">
        <f t="shared" si="8"/>
        <v>117</v>
      </c>
      <c r="B51" s="29">
        <f t="shared" si="1"/>
        <v>74000000</v>
      </c>
      <c r="C51" s="30">
        <f t="shared" si="2"/>
        <v>-73999980</v>
      </c>
      <c r="D51" s="30">
        <f t="shared" si="3"/>
        <v>-37</v>
      </c>
      <c r="E51" s="30">
        <f t="shared" si="4"/>
        <v>17</v>
      </c>
      <c r="F51" s="31">
        <f t="shared" si="5"/>
        <v>0</v>
      </c>
      <c r="G51" s="40">
        <f t="shared" si="6"/>
        <v>0</v>
      </c>
      <c r="H51" s="41">
        <f t="shared" si="7"/>
        <v>0</v>
      </c>
      <c r="AL51" s="17">
        <f t="shared" si="10"/>
        <v>92</v>
      </c>
      <c r="AM51" s="17">
        <f t="shared" si="9"/>
        <v>8344</v>
      </c>
    </row>
    <row r="52" spans="1:39" x14ac:dyDescent="0.25">
      <c r="A52" s="28">
        <f t="shared" si="8"/>
        <v>118</v>
      </c>
      <c r="B52" s="29">
        <f t="shared" si="1"/>
        <v>76000000</v>
      </c>
      <c r="C52" s="30">
        <f t="shared" si="2"/>
        <v>-75999980</v>
      </c>
      <c r="D52" s="30">
        <f t="shared" si="3"/>
        <v>-38</v>
      </c>
      <c r="E52" s="30">
        <f t="shared" si="4"/>
        <v>18</v>
      </c>
      <c r="F52" s="31">
        <f t="shared" si="5"/>
        <v>0</v>
      </c>
      <c r="G52" s="40">
        <f t="shared" si="6"/>
        <v>0</v>
      </c>
      <c r="H52" s="41">
        <f t="shared" si="7"/>
        <v>0</v>
      </c>
      <c r="AL52" s="17">
        <f t="shared" si="10"/>
        <v>94</v>
      </c>
      <c r="AM52" s="17">
        <f t="shared" si="9"/>
        <v>8716</v>
      </c>
    </row>
    <row r="53" spans="1:39" x14ac:dyDescent="0.25">
      <c r="A53" s="28">
        <f t="shared" si="8"/>
        <v>119</v>
      </c>
      <c r="B53" s="29">
        <f t="shared" si="1"/>
        <v>78000000</v>
      </c>
      <c r="C53" s="30">
        <f t="shared" si="2"/>
        <v>-77999980</v>
      </c>
      <c r="D53" s="30">
        <f t="shared" si="3"/>
        <v>-39</v>
      </c>
      <c r="E53" s="30">
        <f t="shared" si="4"/>
        <v>19</v>
      </c>
      <c r="F53" s="31">
        <f t="shared" si="5"/>
        <v>0</v>
      </c>
      <c r="G53" s="40">
        <f t="shared" si="6"/>
        <v>0</v>
      </c>
      <c r="H53" s="41">
        <f t="shared" si="7"/>
        <v>0</v>
      </c>
      <c r="AL53" s="17">
        <f t="shared" si="10"/>
        <v>96</v>
      </c>
      <c r="AM53" s="17">
        <f t="shared" si="9"/>
        <v>9096</v>
      </c>
    </row>
    <row r="54" spans="1:39" x14ac:dyDescent="0.25">
      <c r="A54" s="28">
        <f t="shared" si="8"/>
        <v>120</v>
      </c>
      <c r="B54" s="29">
        <f t="shared" si="1"/>
        <v>80000000</v>
      </c>
      <c r="C54" s="30">
        <f t="shared" si="2"/>
        <v>-79999980</v>
      </c>
      <c r="D54" s="30">
        <f t="shared" si="3"/>
        <v>-40</v>
      </c>
      <c r="E54" s="30">
        <f t="shared" si="4"/>
        <v>20</v>
      </c>
      <c r="F54" s="31">
        <f t="shared" si="5"/>
        <v>0</v>
      </c>
      <c r="G54" s="40">
        <f t="shared" si="6"/>
        <v>0</v>
      </c>
      <c r="H54" s="41">
        <f t="shared" si="7"/>
        <v>0</v>
      </c>
      <c r="AL54" s="17">
        <f t="shared" si="10"/>
        <v>98</v>
      </c>
      <c r="AM54" s="17">
        <f t="shared" si="9"/>
        <v>9484</v>
      </c>
    </row>
    <row r="55" spans="1:39" x14ac:dyDescent="0.25">
      <c r="A55" s="28">
        <f t="shared" si="8"/>
        <v>121</v>
      </c>
      <c r="B55" s="29">
        <f t="shared" si="1"/>
        <v>82000000</v>
      </c>
      <c r="C55" s="30">
        <f t="shared" si="2"/>
        <v>-81999980</v>
      </c>
      <c r="D55" s="30">
        <f t="shared" si="3"/>
        <v>-41</v>
      </c>
      <c r="E55" s="30">
        <f t="shared" si="4"/>
        <v>21</v>
      </c>
      <c r="F55" s="31">
        <f t="shared" si="5"/>
        <v>0</v>
      </c>
      <c r="G55" s="40">
        <f t="shared" si="6"/>
        <v>0</v>
      </c>
      <c r="H55" s="41">
        <f t="shared" si="7"/>
        <v>0</v>
      </c>
      <c r="AL55" s="17">
        <f t="shared" si="10"/>
        <v>100</v>
      </c>
      <c r="AM55" s="17">
        <f t="shared" si="9"/>
        <v>9880</v>
      </c>
    </row>
    <row r="56" spans="1:39" x14ac:dyDescent="0.25">
      <c r="A56" s="28">
        <f t="shared" si="8"/>
        <v>122</v>
      </c>
      <c r="B56" s="29">
        <f t="shared" si="1"/>
        <v>84000000</v>
      </c>
      <c r="C56" s="30">
        <f t="shared" si="2"/>
        <v>-83999980</v>
      </c>
      <c r="D56" s="30">
        <f t="shared" si="3"/>
        <v>-42</v>
      </c>
      <c r="E56" s="30">
        <f t="shared" si="4"/>
        <v>22</v>
      </c>
      <c r="F56" s="31">
        <f t="shared" si="5"/>
        <v>0</v>
      </c>
      <c r="G56" s="40">
        <f t="shared" si="6"/>
        <v>0</v>
      </c>
      <c r="H56" s="41">
        <f t="shared" si="7"/>
        <v>0</v>
      </c>
      <c r="AL56" s="17">
        <f t="shared" si="10"/>
        <v>102</v>
      </c>
      <c r="AM56" s="17">
        <f t="shared" si="9"/>
        <v>10284</v>
      </c>
    </row>
    <row r="57" spans="1:39" x14ac:dyDescent="0.25">
      <c r="A57" s="28">
        <f t="shared" si="8"/>
        <v>123</v>
      </c>
      <c r="B57" s="29">
        <f t="shared" si="1"/>
        <v>86000000</v>
      </c>
      <c r="C57" s="30">
        <f t="shared" si="2"/>
        <v>-85999980</v>
      </c>
      <c r="D57" s="30">
        <f t="shared" si="3"/>
        <v>-43</v>
      </c>
      <c r="E57" s="30">
        <f t="shared" si="4"/>
        <v>23</v>
      </c>
      <c r="F57" s="31">
        <f t="shared" si="5"/>
        <v>0</v>
      </c>
      <c r="G57" s="40">
        <f t="shared" si="6"/>
        <v>0</v>
      </c>
      <c r="H57" s="41">
        <f t="shared" si="7"/>
        <v>0</v>
      </c>
      <c r="AL57" s="17">
        <f t="shared" si="10"/>
        <v>104</v>
      </c>
      <c r="AM57" s="17">
        <f t="shared" si="9"/>
        <v>10696</v>
      </c>
    </row>
    <row r="58" spans="1:39" x14ac:dyDescent="0.25">
      <c r="A58" s="28">
        <f t="shared" si="8"/>
        <v>124</v>
      </c>
      <c r="B58" s="29">
        <f t="shared" si="1"/>
        <v>88000000</v>
      </c>
      <c r="C58" s="30">
        <f t="shared" si="2"/>
        <v>-87999980</v>
      </c>
      <c r="D58" s="30">
        <f t="shared" si="3"/>
        <v>-44</v>
      </c>
      <c r="E58" s="30">
        <f t="shared" si="4"/>
        <v>24</v>
      </c>
      <c r="F58" s="31">
        <f t="shared" si="5"/>
        <v>0</v>
      </c>
      <c r="G58" s="40">
        <f t="shared" si="6"/>
        <v>0</v>
      </c>
      <c r="H58" s="41">
        <f t="shared" si="7"/>
        <v>0</v>
      </c>
      <c r="AL58" s="17">
        <f t="shared" si="10"/>
        <v>106</v>
      </c>
      <c r="AM58" s="17">
        <f t="shared" si="9"/>
        <v>11116</v>
      </c>
    </row>
    <row r="59" spans="1:39" x14ac:dyDescent="0.25">
      <c r="A59" s="28">
        <f t="shared" si="8"/>
        <v>125</v>
      </c>
      <c r="B59" s="29">
        <f t="shared" si="1"/>
        <v>90000000</v>
      </c>
      <c r="C59" s="30">
        <f t="shared" si="2"/>
        <v>-89999980</v>
      </c>
      <c r="D59" s="30">
        <f t="shared" si="3"/>
        <v>-45</v>
      </c>
      <c r="E59" s="30">
        <f t="shared" si="4"/>
        <v>25</v>
      </c>
      <c r="F59" s="31">
        <f t="shared" si="5"/>
        <v>0</v>
      </c>
      <c r="G59" s="40">
        <f t="shared" si="6"/>
        <v>0</v>
      </c>
      <c r="H59" s="41">
        <f t="shared" si="7"/>
        <v>0</v>
      </c>
      <c r="AL59" s="17">
        <f t="shared" si="10"/>
        <v>108</v>
      </c>
      <c r="AM59" s="17">
        <f t="shared" si="9"/>
        <v>11544</v>
      </c>
    </row>
    <row r="60" spans="1:39" x14ac:dyDescent="0.25">
      <c r="A60" s="28">
        <f t="shared" si="8"/>
        <v>126</v>
      </c>
      <c r="B60" s="29">
        <f t="shared" si="1"/>
        <v>92000000</v>
      </c>
      <c r="C60" s="30">
        <f t="shared" si="2"/>
        <v>-91999980</v>
      </c>
      <c r="D60" s="30">
        <f t="shared" si="3"/>
        <v>-46</v>
      </c>
      <c r="E60" s="30">
        <f t="shared" si="4"/>
        <v>26</v>
      </c>
      <c r="F60" s="31">
        <f t="shared" si="5"/>
        <v>0</v>
      </c>
      <c r="G60" s="40">
        <f t="shared" si="6"/>
        <v>0</v>
      </c>
      <c r="H60" s="41">
        <f t="shared" si="7"/>
        <v>0</v>
      </c>
      <c r="AL60" s="17">
        <f t="shared" si="10"/>
        <v>110</v>
      </c>
      <c r="AM60" s="17">
        <f t="shared" si="9"/>
        <v>11980</v>
      </c>
    </row>
    <row r="61" spans="1:39" x14ac:dyDescent="0.25">
      <c r="A61" s="28">
        <f t="shared" si="8"/>
        <v>127</v>
      </c>
      <c r="B61" s="29">
        <f t="shared" si="1"/>
        <v>94000000</v>
      </c>
      <c r="C61" s="30">
        <f t="shared" si="2"/>
        <v>-93999980</v>
      </c>
      <c r="D61" s="30">
        <f t="shared" si="3"/>
        <v>-47</v>
      </c>
      <c r="E61" s="30">
        <f t="shared" si="4"/>
        <v>27</v>
      </c>
      <c r="F61" s="31">
        <f t="shared" si="5"/>
        <v>0</v>
      </c>
      <c r="G61" s="40">
        <f t="shared" si="6"/>
        <v>0</v>
      </c>
      <c r="H61" s="41">
        <f t="shared" si="7"/>
        <v>0</v>
      </c>
      <c r="AL61" s="17">
        <f t="shared" si="10"/>
        <v>112</v>
      </c>
      <c r="AM61" s="17">
        <f t="shared" si="9"/>
        <v>12424</v>
      </c>
    </row>
    <row r="62" spans="1:39" x14ac:dyDescent="0.25">
      <c r="A62" s="28">
        <f t="shared" si="8"/>
        <v>128</v>
      </c>
      <c r="B62" s="29">
        <f t="shared" si="1"/>
        <v>96000000</v>
      </c>
      <c r="C62" s="30">
        <f t="shared" si="2"/>
        <v>-95999980</v>
      </c>
      <c r="D62" s="30">
        <f t="shared" si="3"/>
        <v>-48</v>
      </c>
      <c r="E62" s="30">
        <f t="shared" si="4"/>
        <v>28</v>
      </c>
      <c r="F62" s="31">
        <f t="shared" si="5"/>
        <v>0</v>
      </c>
      <c r="G62" s="40">
        <f t="shared" si="6"/>
        <v>0</v>
      </c>
      <c r="H62" s="41">
        <f t="shared" si="7"/>
        <v>0</v>
      </c>
      <c r="AL62" s="17">
        <f t="shared" si="10"/>
        <v>114</v>
      </c>
      <c r="AM62" s="17">
        <f t="shared" si="9"/>
        <v>12876</v>
      </c>
    </row>
    <row r="63" spans="1:39" x14ac:dyDescent="0.25">
      <c r="A63" s="28">
        <f t="shared" si="8"/>
        <v>129</v>
      </c>
      <c r="B63" s="29">
        <f t="shared" si="1"/>
        <v>98000000</v>
      </c>
      <c r="C63" s="30">
        <f t="shared" si="2"/>
        <v>-97999980</v>
      </c>
      <c r="D63" s="30">
        <f t="shared" si="3"/>
        <v>-49</v>
      </c>
      <c r="E63" s="30">
        <f t="shared" si="4"/>
        <v>29</v>
      </c>
      <c r="F63" s="31">
        <f t="shared" si="5"/>
        <v>0</v>
      </c>
      <c r="G63" s="40">
        <f t="shared" si="6"/>
        <v>0</v>
      </c>
      <c r="H63" s="41">
        <f t="shared" si="7"/>
        <v>0</v>
      </c>
      <c r="AL63" s="17">
        <f t="shared" si="10"/>
        <v>116</v>
      </c>
      <c r="AM63" s="17">
        <f t="shared" si="9"/>
        <v>13336</v>
      </c>
    </row>
    <row r="64" spans="1:39" x14ac:dyDescent="0.25">
      <c r="A64" s="28">
        <f t="shared" si="8"/>
        <v>130</v>
      </c>
      <c r="B64" s="29">
        <f t="shared" si="1"/>
        <v>100000000</v>
      </c>
      <c r="C64" s="30">
        <f t="shared" si="2"/>
        <v>-99999980</v>
      </c>
      <c r="D64" s="30">
        <f t="shared" si="3"/>
        <v>-50</v>
      </c>
      <c r="E64" s="30">
        <f t="shared" si="4"/>
        <v>30</v>
      </c>
      <c r="F64" s="31">
        <f t="shared" si="5"/>
        <v>0</v>
      </c>
      <c r="G64" s="40">
        <f t="shared" si="6"/>
        <v>0</v>
      </c>
      <c r="H64" s="41">
        <f t="shared" si="7"/>
        <v>0</v>
      </c>
      <c r="AL64" s="17">
        <f t="shared" si="10"/>
        <v>118</v>
      </c>
      <c r="AM64" s="17">
        <f t="shared" si="9"/>
        <v>13804</v>
      </c>
    </row>
    <row r="65" spans="1:39" x14ac:dyDescent="0.25">
      <c r="A65" s="28">
        <f t="shared" si="8"/>
        <v>131</v>
      </c>
      <c r="B65" s="29">
        <f t="shared" si="1"/>
        <v>102000000</v>
      </c>
      <c r="C65" s="30">
        <f t="shared" si="2"/>
        <v>-101999980</v>
      </c>
      <c r="D65" s="30">
        <f t="shared" si="3"/>
        <v>-51</v>
      </c>
      <c r="E65" s="30">
        <f t="shared" si="4"/>
        <v>31</v>
      </c>
      <c r="F65" s="31">
        <f t="shared" si="5"/>
        <v>0</v>
      </c>
      <c r="G65" s="40">
        <f t="shared" si="6"/>
        <v>0</v>
      </c>
      <c r="H65" s="41">
        <f t="shared" si="7"/>
        <v>0</v>
      </c>
      <c r="AL65" s="17">
        <f t="shared" si="10"/>
        <v>120</v>
      </c>
      <c r="AM65" s="17">
        <f t="shared" si="9"/>
        <v>14280</v>
      </c>
    </row>
    <row r="66" spans="1:39" x14ac:dyDescent="0.25">
      <c r="A66" s="28">
        <f t="shared" si="8"/>
        <v>132</v>
      </c>
      <c r="B66" s="29">
        <f t="shared" si="1"/>
        <v>104000000</v>
      </c>
      <c r="C66" s="30">
        <f t="shared" si="2"/>
        <v>-103999980</v>
      </c>
      <c r="D66" s="30">
        <f t="shared" si="3"/>
        <v>-52</v>
      </c>
      <c r="E66" s="30">
        <f t="shared" si="4"/>
        <v>32</v>
      </c>
      <c r="F66" s="31">
        <f t="shared" si="5"/>
        <v>0</v>
      </c>
      <c r="G66" s="40">
        <f t="shared" si="6"/>
        <v>0</v>
      </c>
      <c r="H66" s="41">
        <f t="shared" si="7"/>
        <v>0</v>
      </c>
      <c r="AL66" s="17">
        <f t="shared" si="10"/>
        <v>122</v>
      </c>
      <c r="AM66" s="17">
        <f t="shared" si="9"/>
        <v>14764</v>
      </c>
    </row>
    <row r="67" spans="1:39" x14ac:dyDescent="0.25">
      <c r="A67" s="28">
        <f t="shared" si="8"/>
        <v>133</v>
      </c>
      <c r="B67" s="29">
        <f t="shared" si="1"/>
        <v>106000000</v>
      </c>
      <c r="C67" s="30">
        <f t="shared" si="2"/>
        <v>-105999980</v>
      </c>
      <c r="D67" s="30">
        <f t="shared" si="3"/>
        <v>-53</v>
      </c>
      <c r="E67" s="30">
        <f t="shared" si="4"/>
        <v>33</v>
      </c>
      <c r="F67" s="31">
        <f t="shared" si="5"/>
        <v>0</v>
      </c>
      <c r="G67" s="40">
        <f t="shared" si="6"/>
        <v>0</v>
      </c>
      <c r="H67" s="41">
        <f t="shared" si="7"/>
        <v>0</v>
      </c>
      <c r="AL67" s="17">
        <f t="shared" si="10"/>
        <v>124</v>
      </c>
      <c r="AM67" s="17">
        <f t="shared" si="9"/>
        <v>15256</v>
      </c>
    </row>
    <row r="68" spans="1:39" x14ac:dyDescent="0.25">
      <c r="A68" s="28">
        <f t="shared" si="8"/>
        <v>134</v>
      </c>
      <c r="B68" s="29">
        <f t="shared" si="1"/>
        <v>108000000</v>
      </c>
      <c r="C68" s="30">
        <f t="shared" si="2"/>
        <v>-107999980</v>
      </c>
      <c r="D68" s="30">
        <f t="shared" si="3"/>
        <v>-54</v>
      </c>
      <c r="E68" s="30">
        <f t="shared" si="4"/>
        <v>34</v>
      </c>
      <c r="F68" s="31">
        <f t="shared" si="5"/>
        <v>0</v>
      </c>
      <c r="G68" s="40">
        <f t="shared" si="6"/>
        <v>0</v>
      </c>
      <c r="H68" s="41">
        <f t="shared" si="7"/>
        <v>0</v>
      </c>
      <c r="AL68" s="17">
        <f t="shared" si="10"/>
        <v>126</v>
      </c>
      <c r="AM68" s="17">
        <f t="shared" si="9"/>
        <v>15756</v>
      </c>
    </row>
    <row r="69" spans="1:39" x14ac:dyDescent="0.25">
      <c r="A69" s="28">
        <f t="shared" si="8"/>
        <v>135</v>
      </c>
      <c r="B69" s="29">
        <f t="shared" ref="B69:B104" si="11">(MAX(IF($B$1="C",1,-1)*(A69-$K$5),0)-IF($K$10="Y",$K$13*EXP($K$6*$K$9),0))*$K$4</f>
        <v>110000000</v>
      </c>
      <c r="C69" s="30">
        <f t="shared" ref="C69:C104" si="12">(MAX(IF($C$1="C",1,-1)*(A69-$L$5),0)-IF($K$10="Y",$L$13*EXP($K$6*$K$9),0))*$L$4</f>
        <v>-109999980</v>
      </c>
      <c r="D69" s="30">
        <f t="shared" ref="D69:D104" si="13">(MAX(IF($D$1="C",1,-1)*(A69-$M$5),0)-IF($K$10="Y",$M$13*EXP($K$6*$K$9),0))*$M$4</f>
        <v>-55</v>
      </c>
      <c r="E69" s="30">
        <f t="shared" ref="E69:E104" si="14">(MAX(IF($E$1="C",1,-1)*(A69-$N$5),0)-IF($K$10="Y",$N$13*EXP($K$6*$K$9),0))*$N$4</f>
        <v>35</v>
      </c>
      <c r="F69" s="31">
        <f t="shared" ref="F69:F104" si="15">SUM(B69:E69)</f>
        <v>0</v>
      </c>
      <c r="G69" s="40">
        <f t="shared" ref="G69:G104" si="16">IF(A69&lt;=$K$18,0,IF(A69&gt;$K$19,0,$K$19-A69))</f>
        <v>0</v>
      </c>
      <c r="H69" s="41">
        <f t="shared" ref="H69:H104" si="17">F69-G69</f>
        <v>0</v>
      </c>
      <c r="AL69" s="17">
        <f t="shared" si="10"/>
        <v>128</v>
      </c>
      <c r="AM69" s="17">
        <f t="shared" si="9"/>
        <v>16264</v>
      </c>
    </row>
    <row r="70" spans="1:39" x14ac:dyDescent="0.25">
      <c r="A70" s="28">
        <f t="shared" ref="A70:A104" si="18">A69+1</f>
        <v>136</v>
      </c>
      <c r="B70" s="29">
        <f t="shared" si="11"/>
        <v>112000000</v>
      </c>
      <c r="C70" s="30">
        <f t="shared" si="12"/>
        <v>-111999980</v>
      </c>
      <c r="D70" s="30">
        <f t="shared" si="13"/>
        <v>-56</v>
      </c>
      <c r="E70" s="30">
        <f t="shared" si="14"/>
        <v>36</v>
      </c>
      <c r="F70" s="31">
        <f t="shared" si="15"/>
        <v>0</v>
      </c>
      <c r="G70" s="40">
        <f t="shared" si="16"/>
        <v>0</v>
      </c>
      <c r="H70" s="41">
        <f t="shared" si="17"/>
        <v>0</v>
      </c>
      <c r="AL70" s="17">
        <f t="shared" si="10"/>
        <v>130</v>
      </c>
      <c r="AM70" s="17">
        <f t="shared" ref="AM70:AM128" si="19">MAX(0,(AL70^2)-120)</f>
        <v>16780</v>
      </c>
    </row>
    <row r="71" spans="1:39" x14ac:dyDescent="0.25">
      <c r="A71" s="28">
        <f t="shared" si="18"/>
        <v>137</v>
      </c>
      <c r="B71" s="29">
        <f t="shared" si="11"/>
        <v>114000000</v>
      </c>
      <c r="C71" s="30">
        <f t="shared" si="12"/>
        <v>-113999980</v>
      </c>
      <c r="D71" s="30">
        <f t="shared" si="13"/>
        <v>-57</v>
      </c>
      <c r="E71" s="30">
        <f t="shared" si="14"/>
        <v>37</v>
      </c>
      <c r="F71" s="31">
        <f t="shared" si="15"/>
        <v>0</v>
      </c>
      <c r="G71" s="40">
        <f t="shared" si="16"/>
        <v>0</v>
      </c>
      <c r="H71" s="41">
        <f t="shared" si="17"/>
        <v>0</v>
      </c>
      <c r="AL71" s="17">
        <f t="shared" ref="AL71:AL128" si="20">AL70+2</f>
        <v>132</v>
      </c>
      <c r="AM71" s="17">
        <f t="shared" si="19"/>
        <v>17304</v>
      </c>
    </row>
    <row r="72" spans="1:39" x14ac:dyDescent="0.25">
      <c r="A72" s="28">
        <f t="shared" si="18"/>
        <v>138</v>
      </c>
      <c r="B72" s="29">
        <f t="shared" si="11"/>
        <v>116000000</v>
      </c>
      <c r="C72" s="30">
        <f t="shared" si="12"/>
        <v>-115999980</v>
      </c>
      <c r="D72" s="30">
        <f t="shared" si="13"/>
        <v>-58</v>
      </c>
      <c r="E72" s="30">
        <f t="shared" si="14"/>
        <v>38</v>
      </c>
      <c r="F72" s="31">
        <f t="shared" si="15"/>
        <v>0</v>
      </c>
      <c r="G72" s="40">
        <f t="shared" si="16"/>
        <v>0</v>
      </c>
      <c r="H72" s="41">
        <f t="shared" si="17"/>
        <v>0</v>
      </c>
      <c r="AL72" s="17">
        <f t="shared" si="20"/>
        <v>134</v>
      </c>
      <c r="AM72" s="17">
        <f t="shared" si="19"/>
        <v>17836</v>
      </c>
    </row>
    <row r="73" spans="1:39" x14ac:dyDescent="0.25">
      <c r="A73" s="28">
        <f t="shared" si="18"/>
        <v>139</v>
      </c>
      <c r="B73" s="29">
        <f t="shared" si="11"/>
        <v>118000000</v>
      </c>
      <c r="C73" s="30">
        <f t="shared" si="12"/>
        <v>-117999980</v>
      </c>
      <c r="D73" s="30">
        <f t="shared" si="13"/>
        <v>-59</v>
      </c>
      <c r="E73" s="30">
        <f t="shared" si="14"/>
        <v>39</v>
      </c>
      <c r="F73" s="31">
        <f t="shared" si="15"/>
        <v>0</v>
      </c>
      <c r="G73" s="40">
        <f t="shared" si="16"/>
        <v>0</v>
      </c>
      <c r="H73" s="41">
        <f t="shared" si="17"/>
        <v>0</v>
      </c>
      <c r="AL73" s="17">
        <f t="shared" si="20"/>
        <v>136</v>
      </c>
      <c r="AM73" s="17">
        <f t="shared" si="19"/>
        <v>18376</v>
      </c>
    </row>
    <row r="74" spans="1:39" x14ac:dyDescent="0.25">
      <c r="A74" s="28">
        <f t="shared" si="18"/>
        <v>140</v>
      </c>
      <c r="B74" s="29">
        <f t="shared" si="11"/>
        <v>120000000</v>
      </c>
      <c r="C74" s="30">
        <f t="shared" si="12"/>
        <v>-119999980</v>
      </c>
      <c r="D74" s="30">
        <f t="shared" si="13"/>
        <v>-60</v>
      </c>
      <c r="E74" s="30">
        <f t="shared" si="14"/>
        <v>40</v>
      </c>
      <c r="F74" s="31">
        <f t="shared" si="15"/>
        <v>0</v>
      </c>
      <c r="G74" s="40">
        <f t="shared" si="16"/>
        <v>0</v>
      </c>
      <c r="H74" s="41">
        <f t="shared" si="17"/>
        <v>0</v>
      </c>
      <c r="AL74" s="17">
        <f t="shared" si="20"/>
        <v>138</v>
      </c>
      <c r="AM74" s="17">
        <f t="shared" si="19"/>
        <v>18924</v>
      </c>
    </row>
    <row r="75" spans="1:39" x14ac:dyDescent="0.25">
      <c r="A75" s="28">
        <f t="shared" si="18"/>
        <v>141</v>
      </c>
      <c r="B75" s="29">
        <f t="shared" si="11"/>
        <v>122000000</v>
      </c>
      <c r="C75" s="30">
        <f t="shared" si="12"/>
        <v>-121999980</v>
      </c>
      <c r="D75" s="30">
        <f t="shared" si="13"/>
        <v>-61</v>
      </c>
      <c r="E75" s="30">
        <f t="shared" si="14"/>
        <v>41</v>
      </c>
      <c r="F75" s="31">
        <f t="shared" si="15"/>
        <v>0</v>
      </c>
      <c r="G75" s="40">
        <f t="shared" si="16"/>
        <v>0</v>
      </c>
      <c r="H75" s="41">
        <f t="shared" si="17"/>
        <v>0</v>
      </c>
      <c r="AL75" s="17">
        <f t="shared" si="20"/>
        <v>140</v>
      </c>
      <c r="AM75" s="17">
        <f t="shared" si="19"/>
        <v>19480</v>
      </c>
    </row>
    <row r="76" spans="1:39" x14ac:dyDescent="0.25">
      <c r="A76" s="28">
        <f t="shared" si="18"/>
        <v>142</v>
      </c>
      <c r="B76" s="29">
        <f t="shared" si="11"/>
        <v>124000000</v>
      </c>
      <c r="C76" s="30">
        <f t="shared" si="12"/>
        <v>-123999980</v>
      </c>
      <c r="D76" s="30">
        <f t="shared" si="13"/>
        <v>-62</v>
      </c>
      <c r="E76" s="30">
        <f t="shared" si="14"/>
        <v>42</v>
      </c>
      <c r="F76" s="31">
        <f t="shared" si="15"/>
        <v>0</v>
      </c>
      <c r="G76" s="40">
        <f t="shared" si="16"/>
        <v>0</v>
      </c>
      <c r="H76" s="41">
        <f t="shared" si="17"/>
        <v>0</v>
      </c>
      <c r="AL76" s="17">
        <f t="shared" si="20"/>
        <v>142</v>
      </c>
      <c r="AM76" s="17">
        <f t="shared" si="19"/>
        <v>20044</v>
      </c>
    </row>
    <row r="77" spans="1:39" x14ac:dyDescent="0.25">
      <c r="A77" s="28">
        <f t="shared" si="18"/>
        <v>143</v>
      </c>
      <c r="B77" s="29">
        <f t="shared" si="11"/>
        <v>126000000</v>
      </c>
      <c r="C77" s="30">
        <f t="shared" si="12"/>
        <v>-125999980</v>
      </c>
      <c r="D77" s="30">
        <f t="shared" si="13"/>
        <v>-63</v>
      </c>
      <c r="E77" s="30">
        <f t="shared" si="14"/>
        <v>43</v>
      </c>
      <c r="F77" s="31">
        <f t="shared" si="15"/>
        <v>0</v>
      </c>
      <c r="G77" s="40">
        <f t="shared" si="16"/>
        <v>0</v>
      </c>
      <c r="H77" s="41">
        <f t="shared" si="17"/>
        <v>0</v>
      </c>
      <c r="AL77" s="17">
        <f t="shared" si="20"/>
        <v>144</v>
      </c>
      <c r="AM77" s="17">
        <f t="shared" si="19"/>
        <v>20616</v>
      </c>
    </row>
    <row r="78" spans="1:39" x14ac:dyDescent="0.25">
      <c r="A78" s="28">
        <f t="shared" si="18"/>
        <v>144</v>
      </c>
      <c r="B78" s="29">
        <f t="shared" si="11"/>
        <v>128000000</v>
      </c>
      <c r="C78" s="30">
        <f t="shared" si="12"/>
        <v>-127999980</v>
      </c>
      <c r="D78" s="30">
        <f t="shared" si="13"/>
        <v>-64</v>
      </c>
      <c r="E78" s="30">
        <f t="shared" si="14"/>
        <v>44</v>
      </c>
      <c r="F78" s="31">
        <f t="shared" si="15"/>
        <v>0</v>
      </c>
      <c r="G78" s="40">
        <f t="shared" si="16"/>
        <v>0</v>
      </c>
      <c r="H78" s="41">
        <f t="shared" si="17"/>
        <v>0</v>
      </c>
      <c r="AL78" s="17">
        <f t="shared" si="20"/>
        <v>146</v>
      </c>
      <c r="AM78" s="17">
        <f t="shared" si="19"/>
        <v>21196</v>
      </c>
    </row>
    <row r="79" spans="1:39" x14ac:dyDescent="0.25">
      <c r="A79" s="28">
        <f t="shared" si="18"/>
        <v>145</v>
      </c>
      <c r="B79" s="29">
        <f t="shared" si="11"/>
        <v>130000000</v>
      </c>
      <c r="C79" s="30">
        <f t="shared" si="12"/>
        <v>-129999980</v>
      </c>
      <c r="D79" s="30">
        <f t="shared" si="13"/>
        <v>-65</v>
      </c>
      <c r="E79" s="30">
        <f t="shared" si="14"/>
        <v>45</v>
      </c>
      <c r="F79" s="31">
        <f t="shared" si="15"/>
        <v>0</v>
      </c>
      <c r="G79" s="40">
        <f t="shared" si="16"/>
        <v>0</v>
      </c>
      <c r="H79" s="41">
        <f t="shared" si="17"/>
        <v>0</v>
      </c>
      <c r="AL79" s="17">
        <f t="shared" si="20"/>
        <v>148</v>
      </c>
      <c r="AM79" s="17">
        <f t="shared" si="19"/>
        <v>21784</v>
      </c>
    </row>
    <row r="80" spans="1:39" x14ac:dyDescent="0.25">
      <c r="A80" s="28">
        <f t="shared" si="18"/>
        <v>146</v>
      </c>
      <c r="B80" s="29">
        <f t="shared" si="11"/>
        <v>132000000</v>
      </c>
      <c r="C80" s="30">
        <f t="shared" si="12"/>
        <v>-131999980</v>
      </c>
      <c r="D80" s="30">
        <f t="shared" si="13"/>
        <v>-66</v>
      </c>
      <c r="E80" s="30">
        <f t="shared" si="14"/>
        <v>46</v>
      </c>
      <c r="F80" s="31">
        <f t="shared" si="15"/>
        <v>0</v>
      </c>
      <c r="G80" s="40">
        <f t="shared" si="16"/>
        <v>0</v>
      </c>
      <c r="H80" s="41">
        <f t="shared" si="17"/>
        <v>0</v>
      </c>
      <c r="AL80" s="17">
        <f t="shared" si="20"/>
        <v>150</v>
      </c>
      <c r="AM80" s="17">
        <f t="shared" si="19"/>
        <v>22380</v>
      </c>
    </row>
    <row r="81" spans="1:39" x14ac:dyDescent="0.25">
      <c r="A81" s="28">
        <f t="shared" si="18"/>
        <v>147</v>
      </c>
      <c r="B81" s="29">
        <f t="shared" si="11"/>
        <v>134000000</v>
      </c>
      <c r="C81" s="30">
        <f t="shared" si="12"/>
        <v>-133999980</v>
      </c>
      <c r="D81" s="30">
        <f t="shared" si="13"/>
        <v>-67</v>
      </c>
      <c r="E81" s="30">
        <f t="shared" si="14"/>
        <v>47</v>
      </c>
      <c r="F81" s="31">
        <f t="shared" si="15"/>
        <v>0</v>
      </c>
      <c r="G81" s="40">
        <f t="shared" si="16"/>
        <v>0</v>
      </c>
      <c r="H81" s="41">
        <f t="shared" si="17"/>
        <v>0</v>
      </c>
      <c r="AL81" s="17">
        <f t="shared" si="20"/>
        <v>152</v>
      </c>
      <c r="AM81" s="17">
        <f t="shared" si="19"/>
        <v>22984</v>
      </c>
    </row>
    <row r="82" spans="1:39" x14ac:dyDescent="0.25">
      <c r="A82" s="28">
        <f t="shared" si="18"/>
        <v>148</v>
      </c>
      <c r="B82" s="29">
        <f t="shared" si="11"/>
        <v>136000000</v>
      </c>
      <c r="C82" s="30">
        <f t="shared" si="12"/>
        <v>-135999980</v>
      </c>
      <c r="D82" s="30">
        <f t="shared" si="13"/>
        <v>-68</v>
      </c>
      <c r="E82" s="30">
        <f t="shared" si="14"/>
        <v>48</v>
      </c>
      <c r="F82" s="31">
        <f t="shared" si="15"/>
        <v>0</v>
      </c>
      <c r="G82" s="40">
        <f t="shared" si="16"/>
        <v>0</v>
      </c>
      <c r="H82" s="41">
        <f t="shared" si="17"/>
        <v>0</v>
      </c>
      <c r="AL82" s="17">
        <f t="shared" si="20"/>
        <v>154</v>
      </c>
      <c r="AM82" s="17">
        <f t="shared" si="19"/>
        <v>23596</v>
      </c>
    </row>
    <row r="83" spans="1:39" x14ac:dyDescent="0.25">
      <c r="A83" s="28">
        <f t="shared" si="18"/>
        <v>149</v>
      </c>
      <c r="B83" s="29">
        <f t="shared" si="11"/>
        <v>138000000</v>
      </c>
      <c r="C83" s="30">
        <f t="shared" si="12"/>
        <v>-137999980</v>
      </c>
      <c r="D83" s="30">
        <f t="shared" si="13"/>
        <v>-69</v>
      </c>
      <c r="E83" s="30">
        <f t="shared" si="14"/>
        <v>49</v>
      </c>
      <c r="F83" s="31">
        <f t="shared" si="15"/>
        <v>0</v>
      </c>
      <c r="G83" s="40">
        <f t="shared" si="16"/>
        <v>0</v>
      </c>
      <c r="H83" s="41">
        <f t="shared" si="17"/>
        <v>0</v>
      </c>
      <c r="AL83" s="17">
        <f t="shared" si="20"/>
        <v>156</v>
      </c>
      <c r="AM83" s="17">
        <f t="shared" si="19"/>
        <v>24216</v>
      </c>
    </row>
    <row r="84" spans="1:39" x14ac:dyDescent="0.25">
      <c r="A84" s="28">
        <f t="shared" si="18"/>
        <v>150</v>
      </c>
      <c r="B84" s="29">
        <f t="shared" si="11"/>
        <v>140000000</v>
      </c>
      <c r="C84" s="30">
        <f t="shared" si="12"/>
        <v>-139999980</v>
      </c>
      <c r="D84" s="30">
        <f t="shared" si="13"/>
        <v>-70</v>
      </c>
      <c r="E84" s="30">
        <f t="shared" si="14"/>
        <v>50</v>
      </c>
      <c r="F84" s="31">
        <f t="shared" si="15"/>
        <v>0</v>
      </c>
      <c r="G84" s="40">
        <f t="shared" si="16"/>
        <v>0</v>
      </c>
      <c r="H84" s="41">
        <f t="shared" si="17"/>
        <v>0</v>
      </c>
      <c r="AL84" s="17">
        <f t="shared" si="20"/>
        <v>158</v>
      </c>
      <c r="AM84" s="17">
        <f t="shared" si="19"/>
        <v>24844</v>
      </c>
    </row>
    <row r="85" spans="1:39" x14ac:dyDescent="0.25">
      <c r="A85" s="28">
        <f t="shared" si="18"/>
        <v>151</v>
      </c>
      <c r="B85" s="29">
        <f t="shared" si="11"/>
        <v>142000000</v>
      </c>
      <c r="C85" s="30">
        <f t="shared" si="12"/>
        <v>-141999980</v>
      </c>
      <c r="D85" s="30">
        <f t="shared" si="13"/>
        <v>-71</v>
      </c>
      <c r="E85" s="30">
        <f t="shared" si="14"/>
        <v>51</v>
      </c>
      <c r="F85" s="31">
        <f t="shared" si="15"/>
        <v>0</v>
      </c>
      <c r="G85" s="40">
        <f t="shared" si="16"/>
        <v>0</v>
      </c>
      <c r="H85" s="41">
        <f t="shared" si="17"/>
        <v>0</v>
      </c>
      <c r="AL85" s="17">
        <f t="shared" si="20"/>
        <v>160</v>
      </c>
      <c r="AM85" s="17">
        <f t="shared" si="19"/>
        <v>25480</v>
      </c>
    </row>
    <row r="86" spans="1:39" x14ac:dyDescent="0.25">
      <c r="A86" s="28">
        <f t="shared" si="18"/>
        <v>152</v>
      </c>
      <c r="B86" s="29">
        <f t="shared" si="11"/>
        <v>144000000</v>
      </c>
      <c r="C86" s="30">
        <f t="shared" si="12"/>
        <v>-143999980</v>
      </c>
      <c r="D86" s="30">
        <f t="shared" si="13"/>
        <v>-72</v>
      </c>
      <c r="E86" s="30">
        <f t="shared" si="14"/>
        <v>52</v>
      </c>
      <c r="F86" s="31">
        <f t="shared" si="15"/>
        <v>0</v>
      </c>
      <c r="G86" s="40">
        <f t="shared" si="16"/>
        <v>0</v>
      </c>
      <c r="H86" s="41">
        <f t="shared" si="17"/>
        <v>0</v>
      </c>
      <c r="AL86" s="17">
        <f t="shared" si="20"/>
        <v>162</v>
      </c>
      <c r="AM86" s="17">
        <f t="shared" si="19"/>
        <v>26124</v>
      </c>
    </row>
    <row r="87" spans="1:39" x14ac:dyDescent="0.25">
      <c r="A87" s="28">
        <f t="shared" si="18"/>
        <v>153</v>
      </c>
      <c r="B87" s="29">
        <f t="shared" si="11"/>
        <v>146000000</v>
      </c>
      <c r="C87" s="30">
        <f t="shared" si="12"/>
        <v>-145999980</v>
      </c>
      <c r="D87" s="30">
        <f t="shared" si="13"/>
        <v>-73</v>
      </c>
      <c r="E87" s="30">
        <f t="shared" si="14"/>
        <v>53</v>
      </c>
      <c r="F87" s="31">
        <f t="shared" si="15"/>
        <v>0</v>
      </c>
      <c r="G87" s="40">
        <f t="shared" si="16"/>
        <v>0</v>
      </c>
      <c r="H87" s="41">
        <f t="shared" si="17"/>
        <v>0</v>
      </c>
      <c r="AL87" s="17">
        <f t="shared" si="20"/>
        <v>164</v>
      </c>
      <c r="AM87" s="17">
        <f t="shared" si="19"/>
        <v>26776</v>
      </c>
    </row>
    <row r="88" spans="1:39" x14ac:dyDescent="0.25">
      <c r="A88" s="28">
        <f t="shared" si="18"/>
        <v>154</v>
      </c>
      <c r="B88" s="29">
        <f t="shared" si="11"/>
        <v>148000000</v>
      </c>
      <c r="C88" s="30">
        <f t="shared" si="12"/>
        <v>-147999980</v>
      </c>
      <c r="D88" s="30">
        <f t="shared" si="13"/>
        <v>-74</v>
      </c>
      <c r="E88" s="30">
        <f t="shared" si="14"/>
        <v>54</v>
      </c>
      <c r="F88" s="31">
        <f t="shared" si="15"/>
        <v>0</v>
      </c>
      <c r="G88" s="40">
        <f t="shared" si="16"/>
        <v>0</v>
      </c>
      <c r="H88" s="41">
        <f t="shared" si="17"/>
        <v>0</v>
      </c>
      <c r="AL88" s="17">
        <f t="shared" si="20"/>
        <v>166</v>
      </c>
      <c r="AM88" s="17">
        <f t="shared" si="19"/>
        <v>27436</v>
      </c>
    </row>
    <row r="89" spans="1:39" x14ac:dyDescent="0.25">
      <c r="A89" s="28">
        <f t="shared" si="18"/>
        <v>155</v>
      </c>
      <c r="B89" s="29">
        <f t="shared" si="11"/>
        <v>150000000</v>
      </c>
      <c r="C89" s="30">
        <f t="shared" si="12"/>
        <v>-149999980</v>
      </c>
      <c r="D89" s="30">
        <f t="shared" si="13"/>
        <v>-75</v>
      </c>
      <c r="E89" s="30">
        <f t="shared" si="14"/>
        <v>55</v>
      </c>
      <c r="F89" s="31">
        <f t="shared" si="15"/>
        <v>0</v>
      </c>
      <c r="G89" s="40">
        <f t="shared" si="16"/>
        <v>0</v>
      </c>
      <c r="H89" s="41">
        <f t="shared" si="17"/>
        <v>0</v>
      </c>
      <c r="AL89" s="17">
        <f t="shared" si="20"/>
        <v>168</v>
      </c>
      <c r="AM89" s="17">
        <f t="shared" si="19"/>
        <v>28104</v>
      </c>
    </row>
    <row r="90" spans="1:39" x14ac:dyDescent="0.25">
      <c r="A90" s="28">
        <f t="shared" si="18"/>
        <v>156</v>
      </c>
      <c r="B90" s="29">
        <f t="shared" si="11"/>
        <v>152000000</v>
      </c>
      <c r="C90" s="30">
        <f t="shared" si="12"/>
        <v>-151999980</v>
      </c>
      <c r="D90" s="30">
        <f t="shared" si="13"/>
        <v>-76</v>
      </c>
      <c r="E90" s="30">
        <f t="shared" si="14"/>
        <v>56</v>
      </c>
      <c r="F90" s="31">
        <f t="shared" si="15"/>
        <v>0</v>
      </c>
      <c r="G90" s="40">
        <f t="shared" si="16"/>
        <v>0</v>
      </c>
      <c r="H90" s="41">
        <f t="shared" si="17"/>
        <v>0</v>
      </c>
      <c r="AL90" s="17">
        <f t="shared" si="20"/>
        <v>170</v>
      </c>
      <c r="AM90" s="17">
        <f t="shared" si="19"/>
        <v>28780</v>
      </c>
    </row>
    <row r="91" spans="1:39" x14ac:dyDescent="0.25">
      <c r="A91" s="28">
        <f t="shared" si="18"/>
        <v>157</v>
      </c>
      <c r="B91" s="29">
        <f t="shared" si="11"/>
        <v>154000000</v>
      </c>
      <c r="C91" s="30">
        <f t="shared" si="12"/>
        <v>-153999980</v>
      </c>
      <c r="D91" s="30">
        <f t="shared" si="13"/>
        <v>-77</v>
      </c>
      <c r="E91" s="30">
        <f t="shared" si="14"/>
        <v>57</v>
      </c>
      <c r="F91" s="31">
        <f t="shared" si="15"/>
        <v>0</v>
      </c>
      <c r="G91" s="40">
        <f t="shared" si="16"/>
        <v>0</v>
      </c>
      <c r="H91" s="41">
        <f t="shared" si="17"/>
        <v>0</v>
      </c>
      <c r="AL91" s="17">
        <f t="shared" si="20"/>
        <v>172</v>
      </c>
      <c r="AM91" s="17">
        <f t="shared" si="19"/>
        <v>29464</v>
      </c>
    </row>
    <row r="92" spans="1:39" x14ac:dyDescent="0.25">
      <c r="A92" s="28">
        <f t="shared" si="18"/>
        <v>158</v>
      </c>
      <c r="B92" s="29">
        <f t="shared" si="11"/>
        <v>156000000</v>
      </c>
      <c r="C92" s="30">
        <f t="shared" si="12"/>
        <v>-155999980</v>
      </c>
      <c r="D92" s="30">
        <f t="shared" si="13"/>
        <v>-78</v>
      </c>
      <c r="E92" s="30">
        <f t="shared" si="14"/>
        <v>58</v>
      </c>
      <c r="F92" s="31">
        <f t="shared" si="15"/>
        <v>0</v>
      </c>
      <c r="G92" s="40">
        <f t="shared" si="16"/>
        <v>0</v>
      </c>
      <c r="H92" s="41">
        <f t="shared" si="17"/>
        <v>0</v>
      </c>
      <c r="AL92" s="17">
        <f t="shared" si="20"/>
        <v>174</v>
      </c>
      <c r="AM92" s="17">
        <f t="shared" si="19"/>
        <v>30156</v>
      </c>
    </row>
    <row r="93" spans="1:39" x14ac:dyDescent="0.25">
      <c r="A93" s="28">
        <f t="shared" si="18"/>
        <v>159</v>
      </c>
      <c r="B93" s="29">
        <f t="shared" si="11"/>
        <v>158000000</v>
      </c>
      <c r="C93" s="30">
        <f t="shared" si="12"/>
        <v>-157999980</v>
      </c>
      <c r="D93" s="30">
        <f t="shared" si="13"/>
        <v>-79</v>
      </c>
      <c r="E93" s="30">
        <f t="shared" si="14"/>
        <v>59</v>
      </c>
      <c r="F93" s="31">
        <f t="shared" si="15"/>
        <v>0</v>
      </c>
      <c r="G93" s="40">
        <f t="shared" si="16"/>
        <v>0</v>
      </c>
      <c r="H93" s="41">
        <f t="shared" si="17"/>
        <v>0</v>
      </c>
      <c r="AL93" s="17">
        <f t="shared" si="20"/>
        <v>176</v>
      </c>
      <c r="AM93" s="17">
        <f t="shared" si="19"/>
        <v>30856</v>
      </c>
    </row>
    <row r="94" spans="1:39" x14ac:dyDescent="0.25">
      <c r="A94" s="28">
        <f t="shared" si="18"/>
        <v>160</v>
      </c>
      <c r="B94" s="29">
        <f t="shared" si="11"/>
        <v>160000000</v>
      </c>
      <c r="C94" s="30">
        <f t="shared" si="12"/>
        <v>-159999980</v>
      </c>
      <c r="D94" s="30">
        <f t="shared" si="13"/>
        <v>-80</v>
      </c>
      <c r="E94" s="30">
        <f t="shared" si="14"/>
        <v>60</v>
      </c>
      <c r="F94" s="31">
        <f t="shared" si="15"/>
        <v>0</v>
      </c>
      <c r="G94" s="40">
        <f t="shared" si="16"/>
        <v>0</v>
      </c>
      <c r="H94" s="41">
        <f t="shared" si="17"/>
        <v>0</v>
      </c>
      <c r="AL94" s="17">
        <f t="shared" si="20"/>
        <v>178</v>
      </c>
      <c r="AM94" s="17">
        <f t="shared" si="19"/>
        <v>31564</v>
      </c>
    </row>
    <row r="95" spans="1:39" x14ac:dyDescent="0.25">
      <c r="A95" s="28">
        <f t="shared" si="18"/>
        <v>161</v>
      </c>
      <c r="B95" s="29">
        <f t="shared" si="11"/>
        <v>162000000</v>
      </c>
      <c r="C95" s="30">
        <f t="shared" si="12"/>
        <v>-161999980</v>
      </c>
      <c r="D95" s="30">
        <f t="shared" si="13"/>
        <v>-81</v>
      </c>
      <c r="E95" s="30">
        <f t="shared" si="14"/>
        <v>61</v>
      </c>
      <c r="F95" s="31">
        <f t="shared" si="15"/>
        <v>0</v>
      </c>
      <c r="G95" s="40">
        <f t="shared" si="16"/>
        <v>0</v>
      </c>
      <c r="H95" s="41">
        <f t="shared" si="17"/>
        <v>0</v>
      </c>
      <c r="AL95" s="17">
        <f t="shared" si="20"/>
        <v>180</v>
      </c>
      <c r="AM95" s="17">
        <f t="shared" si="19"/>
        <v>32280</v>
      </c>
    </row>
    <row r="96" spans="1:39" x14ac:dyDescent="0.25">
      <c r="A96" s="28">
        <f t="shared" si="18"/>
        <v>162</v>
      </c>
      <c r="B96" s="29">
        <f t="shared" si="11"/>
        <v>164000000</v>
      </c>
      <c r="C96" s="30">
        <f t="shared" si="12"/>
        <v>-163999980</v>
      </c>
      <c r="D96" s="30">
        <f t="shared" si="13"/>
        <v>-82</v>
      </c>
      <c r="E96" s="30">
        <f t="shared" si="14"/>
        <v>62</v>
      </c>
      <c r="F96" s="31">
        <f t="shared" si="15"/>
        <v>0</v>
      </c>
      <c r="G96" s="40">
        <f t="shared" si="16"/>
        <v>0</v>
      </c>
      <c r="H96" s="41">
        <f t="shared" si="17"/>
        <v>0</v>
      </c>
      <c r="AL96" s="17">
        <f t="shared" si="20"/>
        <v>182</v>
      </c>
      <c r="AM96" s="17">
        <f t="shared" si="19"/>
        <v>33004</v>
      </c>
    </row>
    <row r="97" spans="1:39" x14ac:dyDescent="0.25">
      <c r="A97" s="28">
        <f t="shared" si="18"/>
        <v>163</v>
      </c>
      <c r="B97" s="29">
        <f t="shared" si="11"/>
        <v>166000000</v>
      </c>
      <c r="C97" s="30">
        <f t="shared" si="12"/>
        <v>-165999980</v>
      </c>
      <c r="D97" s="30">
        <f t="shared" si="13"/>
        <v>-83</v>
      </c>
      <c r="E97" s="30">
        <f t="shared" si="14"/>
        <v>63</v>
      </c>
      <c r="F97" s="31">
        <f t="shared" si="15"/>
        <v>0</v>
      </c>
      <c r="G97" s="40">
        <f t="shared" si="16"/>
        <v>0</v>
      </c>
      <c r="H97" s="41">
        <f t="shared" si="17"/>
        <v>0</v>
      </c>
      <c r="AL97" s="17">
        <f t="shared" si="20"/>
        <v>184</v>
      </c>
      <c r="AM97" s="17">
        <f t="shared" si="19"/>
        <v>33736</v>
      </c>
    </row>
    <row r="98" spans="1:39" x14ac:dyDescent="0.25">
      <c r="A98" s="28">
        <f t="shared" si="18"/>
        <v>164</v>
      </c>
      <c r="B98" s="29">
        <f t="shared" si="11"/>
        <v>168000000</v>
      </c>
      <c r="C98" s="30">
        <f t="shared" si="12"/>
        <v>-167999980</v>
      </c>
      <c r="D98" s="30">
        <f t="shared" si="13"/>
        <v>-84</v>
      </c>
      <c r="E98" s="30">
        <f t="shared" si="14"/>
        <v>64</v>
      </c>
      <c r="F98" s="31">
        <f t="shared" si="15"/>
        <v>0</v>
      </c>
      <c r="G98" s="40">
        <f t="shared" si="16"/>
        <v>0</v>
      </c>
      <c r="H98" s="41">
        <f t="shared" si="17"/>
        <v>0</v>
      </c>
      <c r="AL98" s="17">
        <f t="shared" si="20"/>
        <v>186</v>
      </c>
      <c r="AM98" s="17">
        <f t="shared" si="19"/>
        <v>34476</v>
      </c>
    </row>
    <row r="99" spans="1:39" x14ac:dyDescent="0.25">
      <c r="A99" s="28">
        <f t="shared" si="18"/>
        <v>165</v>
      </c>
      <c r="B99" s="29">
        <f t="shared" si="11"/>
        <v>170000000</v>
      </c>
      <c r="C99" s="30">
        <f t="shared" si="12"/>
        <v>-169999980</v>
      </c>
      <c r="D99" s="30">
        <f t="shared" si="13"/>
        <v>-85</v>
      </c>
      <c r="E99" s="30">
        <f t="shared" si="14"/>
        <v>65</v>
      </c>
      <c r="F99" s="31">
        <f t="shared" si="15"/>
        <v>0</v>
      </c>
      <c r="G99" s="40">
        <f t="shared" si="16"/>
        <v>0</v>
      </c>
      <c r="H99" s="41">
        <f t="shared" si="17"/>
        <v>0</v>
      </c>
      <c r="AL99" s="17">
        <f t="shared" si="20"/>
        <v>188</v>
      </c>
      <c r="AM99" s="17">
        <f t="shared" si="19"/>
        <v>35224</v>
      </c>
    </row>
    <row r="100" spans="1:39" x14ac:dyDescent="0.25">
      <c r="A100" s="28">
        <f t="shared" si="18"/>
        <v>166</v>
      </c>
      <c r="B100" s="29">
        <f t="shared" si="11"/>
        <v>172000000</v>
      </c>
      <c r="C100" s="30">
        <f t="shared" si="12"/>
        <v>-171999980</v>
      </c>
      <c r="D100" s="30">
        <f t="shared" si="13"/>
        <v>-86</v>
      </c>
      <c r="E100" s="30">
        <f t="shared" si="14"/>
        <v>66</v>
      </c>
      <c r="F100" s="31">
        <f t="shared" si="15"/>
        <v>0</v>
      </c>
      <c r="G100" s="40">
        <f t="shared" si="16"/>
        <v>0</v>
      </c>
      <c r="H100" s="41">
        <f t="shared" si="17"/>
        <v>0</v>
      </c>
      <c r="AL100" s="17">
        <f t="shared" si="20"/>
        <v>190</v>
      </c>
      <c r="AM100" s="17">
        <f t="shared" si="19"/>
        <v>35980</v>
      </c>
    </row>
    <row r="101" spans="1:39" x14ac:dyDescent="0.25">
      <c r="A101" s="28">
        <f t="shared" si="18"/>
        <v>167</v>
      </c>
      <c r="B101" s="29">
        <f t="shared" si="11"/>
        <v>174000000</v>
      </c>
      <c r="C101" s="30">
        <f t="shared" si="12"/>
        <v>-173999980</v>
      </c>
      <c r="D101" s="30">
        <f t="shared" si="13"/>
        <v>-87</v>
      </c>
      <c r="E101" s="30">
        <f t="shared" si="14"/>
        <v>67</v>
      </c>
      <c r="F101" s="31">
        <f t="shared" si="15"/>
        <v>0</v>
      </c>
      <c r="G101" s="40">
        <f t="shared" si="16"/>
        <v>0</v>
      </c>
      <c r="H101" s="41">
        <f t="shared" si="17"/>
        <v>0</v>
      </c>
      <c r="AL101" s="17">
        <f t="shared" si="20"/>
        <v>192</v>
      </c>
      <c r="AM101" s="17">
        <f t="shared" si="19"/>
        <v>36744</v>
      </c>
    </row>
    <row r="102" spans="1:39" x14ac:dyDescent="0.25">
      <c r="A102" s="28">
        <f t="shared" si="18"/>
        <v>168</v>
      </c>
      <c r="B102" s="29">
        <f t="shared" si="11"/>
        <v>176000000</v>
      </c>
      <c r="C102" s="30">
        <f t="shared" si="12"/>
        <v>-175999980</v>
      </c>
      <c r="D102" s="30">
        <f t="shared" si="13"/>
        <v>-88</v>
      </c>
      <c r="E102" s="30">
        <f t="shared" si="14"/>
        <v>68</v>
      </c>
      <c r="F102" s="31">
        <f t="shared" si="15"/>
        <v>0</v>
      </c>
      <c r="G102" s="40">
        <f t="shared" si="16"/>
        <v>0</v>
      </c>
      <c r="H102" s="41">
        <f t="shared" si="17"/>
        <v>0</v>
      </c>
      <c r="AL102" s="17">
        <f t="shared" si="20"/>
        <v>194</v>
      </c>
      <c r="AM102" s="17">
        <f t="shared" si="19"/>
        <v>37516</v>
      </c>
    </row>
    <row r="103" spans="1:39" x14ac:dyDescent="0.25">
      <c r="A103" s="28">
        <f t="shared" si="18"/>
        <v>169</v>
      </c>
      <c r="B103" s="29">
        <f t="shared" si="11"/>
        <v>178000000</v>
      </c>
      <c r="C103" s="30">
        <f t="shared" si="12"/>
        <v>-177999980</v>
      </c>
      <c r="D103" s="30">
        <f t="shared" si="13"/>
        <v>-89</v>
      </c>
      <c r="E103" s="30">
        <f t="shared" si="14"/>
        <v>69</v>
      </c>
      <c r="F103" s="31">
        <f t="shared" si="15"/>
        <v>0</v>
      </c>
      <c r="G103" s="40">
        <f t="shared" si="16"/>
        <v>0</v>
      </c>
      <c r="H103" s="41">
        <f t="shared" si="17"/>
        <v>0</v>
      </c>
      <c r="AL103" s="17">
        <f t="shared" si="20"/>
        <v>196</v>
      </c>
      <c r="AM103" s="17">
        <f t="shared" si="19"/>
        <v>38296</v>
      </c>
    </row>
    <row r="104" spans="1:39" x14ac:dyDescent="0.25">
      <c r="A104" s="28">
        <f t="shared" si="18"/>
        <v>170</v>
      </c>
      <c r="B104" s="38">
        <f t="shared" si="11"/>
        <v>180000000</v>
      </c>
      <c r="C104" s="32">
        <f t="shared" si="12"/>
        <v>-179999980</v>
      </c>
      <c r="D104" s="32">
        <f t="shared" si="13"/>
        <v>-90</v>
      </c>
      <c r="E104" s="32">
        <f t="shared" si="14"/>
        <v>70</v>
      </c>
      <c r="F104" s="39">
        <f t="shared" si="15"/>
        <v>0</v>
      </c>
      <c r="G104" s="40">
        <f t="shared" si="16"/>
        <v>0</v>
      </c>
      <c r="H104" s="41">
        <f t="shared" si="17"/>
        <v>0</v>
      </c>
      <c r="AL104" s="17">
        <f t="shared" si="20"/>
        <v>198</v>
      </c>
      <c r="AM104" s="17">
        <f t="shared" si="19"/>
        <v>39084</v>
      </c>
    </row>
    <row r="105" spans="1:39" x14ac:dyDescent="0.25">
      <c r="A105" s="28"/>
      <c r="AL105" s="17">
        <f t="shared" si="20"/>
        <v>200</v>
      </c>
      <c r="AM105" s="17">
        <f t="shared" si="19"/>
        <v>39880</v>
      </c>
    </row>
    <row r="106" spans="1:39" x14ac:dyDescent="0.25">
      <c r="A106" s="28"/>
      <c r="AL106" s="17">
        <f t="shared" si="20"/>
        <v>202</v>
      </c>
      <c r="AM106" s="17">
        <f t="shared" si="19"/>
        <v>40684</v>
      </c>
    </row>
    <row r="107" spans="1:39" x14ac:dyDescent="0.25">
      <c r="A107" s="28"/>
      <c r="AL107" s="17">
        <f t="shared" si="20"/>
        <v>204</v>
      </c>
      <c r="AM107" s="17">
        <f t="shared" si="19"/>
        <v>41496</v>
      </c>
    </row>
    <row r="108" spans="1:39" x14ac:dyDescent="0.25">
      <c r="A108" s="28"/>
      <c r="AL108" s="17">
        <f t="shared" si="20"/>
        <v>206</v>
      </c>
      <c r="AM108" s="17">
        <f t="shared" si="19"/>
        <v>42316</v>
      </c>
    </row>
    <row r="109" spans="1:39" x14ac:dyDescent="0.25">
      <c r="A109" s="28"/>
      <c r="AL109" s="17">
        <f t="shared" si="20"/>
        <v>208</v>
      </c>
      <c r="AM109" s="17">
        <f t="shared" si="19"/>
        <v>43144</v>
      </c>
    </row>
    <row r="110" spans="1:39" x14ac:dyDescent="0.25">
      <c r="A110" s="28"/>
      <c r="AL110" s="17">
        <f t="shared" si="20"/>
        <v>210</v>
      </c>
      <c r="AM110" s="17">
        <f t="shared" si="19"/>
        <v>43980</v>
      </c>
    </row>
    <row r="111" spans="1:39" x14ac:dyDescent="0.25">
      <c r="A111" s="28"/>
      <c r="AL111" s="17">
        <f t="shared" si="20"/>
        <v>212</v>
      </c>
      <c r="AM111" s="17">
        <f t="shared" si="19"/>
        <v>44824</v>
      </c>
    </row>
    <row r="112" spans="1:39" x14ac:dyDescent="0.25">
      <c r="A112" s="28"/>
      <c r="AL112" s="17">
        <f t="shared" si="20"/>
        <v>214</v>
      </c>
      <c r="AM112" s="17">
        <f t="shared" si="19"/>
        <v>45676</v>
      </c>
    </row>
    <row r="113" spans="1:39" x14ac:dyDescent="0.25">
      <c r="A113" s="28"/>
      <c r="AL113" s="17">
        <f t="shared" si="20"/>
        <v>216</v>
      </c>
      <c r="AM113" s="17">
        <f t="shared" si="19"/>
        <v>46536</v>
      </c>
    </row>
    <row r="114" spans="1:39" x14ac:dyDescent="0.25">
      <c r="A114" s="28"/>
      <c r="AL114" s="17">
        <f t="shared" si="20"/>
        <v>218</v>
      </c>
      <c r="AM114" s="17">
        <f t="shared" si="19"/>
        <v>47404</v>
      </c>
    </row>
    <row r="115" spans="1:39" x14ac:dyDescent="0.25">
      <c r="A115" s="28"/>
      <c r="AL115" s="17">
        <f t="shared" si="20"/>
        <v>220</v>
      </c>
      <c r="AM115" s="17">
        <f t="shared" si="19"/>
        <v>48280</v>
      </c>
    </row>
    <row r="116" spans="1:39" x14ac:dyDescent="0.25">
      <c r="A116" s="28"/>
      <c r="AL116" s="17">
        <f t="shared" si="20"/>
        <v>222</v>
      </c>
      <c r="AM116" s="17">
        <f t="shared" si="19"/>
        <v>49164</v>
      </c>
    </row>
    <row r="117" spans="1:39" x14ac:dyDescent="0.25">
      <c r="A117" s="28"/>
      <c r="AL117" s="17">
        <f t="shared" si="20"/>
        <v>224</v>
      </c>
      <c r="AM117" s="17">
        <f t="shared" si="19"/>
        <v>50056</v>
      </c>
    </row>
    <row r="118" spans="1:39" x14ac:dyDescent="0.25">
      <c r="A118" s="28"/>
      <c r="AL118" s="17">
        <f t="shared" si="20"/>
        <v>226</v>
      </c>
      <c r="AM118" s="17">
        <f t="shared" si="19"/>
        <v>50956</v>
      </c>
    </row>
    <row r="119" spans="1:39" x14ac:dyDescent="0.25">
      <c r="A119" s="28"/>
      <c r="AL119" s="17">
        <f t="shared" si="20"/>
        <v>228</v>
      </c>
      <c r="AM119" s="17">
        <f t="shared" si="19"/>
        <v>51864</v>
      </c>
    </row>
    <row r="120" spans="1:39" x14ac:dyDescent="0.25">
      <c r="A120" s="28"/>
      <c r="AL120" s="17">
        <f t="shared" si="20"/>
        <v>230</v>
      </c>
      <c r="AM120" s="17">
        <f t="shared" si="19"/>
        <v>52780</v>
      </c>
    </row>
    <row r="121" spans="1:39" x14ac:dyDescent="0.25">
      <c r="A121" s="28"/>
      <c r="AL121" s="17">
        <f t="shared" si="20"/>
        <v>232</v>
      </c>
      <c r="AM121" s="17">
        <f t="shared" si="19"/>
        <v>53704</v>
      </c>
    </row>
    <row r="122" spans="1:39" x14ac:dyDescent="0.25">
      <c r="A122" s="28"/>
      <c r="AL122" s="17">
        <f t="shared" si="20"/>
        <v>234</v>
      </c>
      <c r="AM122" s="17">
        <f t="shared" si="19"/>
        <v>54636</v>
      </c>
    </row>
    <row r="123" spans="1:39" x14ac:dyDescent="0.25">
      <c r="A123" s="28"/>
      <c r="AL123" s="17">
        <f t="shared" si="20"/>
        <v>236</v>
      </c>
      <c r="AM123" s="17">
        <f t="shared" si="19"/>
        <v>55576</v>
      </c>
    </row>
    <row r="124" spans="1:39" x14ac:dyDescent="0.25">
      <c r="A124" s="28"/>
      <c r="AL124" s="17">
        <f t="shared" si="20"/>
        <v>238</v>
      </c>
      <c r="AM124" s="17">
        <f t="shared" si="19"/>
        <v>56524</v>
      </c>
    </row>
    <row r="125" spans="1:39" x14ac:dyDescent="0.25">
      <c r="A125" s="28"/>
      <c r="AL125" s="17">
        <f t="shared" si="20"/>
        <v>240</v>
      </c>
      <c r="AM125" s="17">
        <f t="shared" si="19"/>
        <v>57480</v>
      </c>
    </row>
    <row r="126" spans="1:39" x14ac:dyDescent="0.25">
      <c r="A126" s="28"/>
      <c r="AL126" s="17">
        <f t="shared" si="20"/>
        <v>242</v>
      </c>
      <c r="AM126" s="17">
        <f t="shared" si="19"/>
        <v>58444</v>
      </c>
    </row>
    <row r="127" spans="1:39" x14ac:dyDescent="0.25">
      <c r="A127" s="28"/>
      <c r="AL127" s="17">
        <f t="shared" si="20"/>
        <v>244</v>
      </c>
      <c r="AM127" s="17">
        <f t="shared" si="19"/>
        <v>59416</v>
      </c>
    </row>
    <row r="128" spans="1:39" x14ac:dyDescent="0.25">
      <c r="A128" s="28"/>
      <c r="AL128" s="17">
        <f t="shared" si="20"/>
        <v>246</v>
      </c>
      <c r="AM128" s="17">
        <f t="shared" si="19"/>
        <v>60396</v>
      </c>
    </row>
    <row r="129" spans="1:1" x14ac:dyDescent="0.25">
      <c r="A129" s="28"/>
    </row>
    <row r="130" spans="1:1" x14ac:dyDescent="0.25">
      <c r="A130" s="28"/>
    </row>
    <row r="131" spans="1:1" x14ac:dyDescent="0.25">
      <c r="A131" s="28"/>
    </row>
    <row r="132" spans="1:1" x14ac:dyDescent="0.25">
      <c r="A132" s="28"/>
    </row>
  </sheetData>
  <mergeCells count="18">
    <mergeCell ref="J17:K17"/>
    <mergeCell ref="I1:J1"/>
    <mergeCell ref="G1:G3"/>
    <mergeCell ref="H1:H3"/>
    <mergeCell ref="I2:I10"/>
    <mergeCell ref="K2:N2"/>
    <mergeCell ref="K10:N10"/>
    <mergeCell ref="B3:E3"/>
    <mergeCell ref="K6:N6"/>
    <mergeCell ref="K7:N7"/>
    <mergeCell ref="K8:N8"/>
    <mergeCell ref="K9:N9"/>
    <mergeCell ref="F1:F3"/>
    <mergeCell ref="A1:A2"/>
    <mergeCell ref="B1:B2"/>
    <mergeCell ref="C1:C2"/>
    <mergeCell ref="D1:D2"/>
    <mergeCell ref="E1:E2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B70B-3D1C-438B-BEFC-2B8D4C073E72}">
  <dimension ref="A1:AM132"/>
  <sheetViews>
    <sheetView topLeftCell="H1" zoomScale="110" zoomScaleNormal="110" workbookViewId="0">
      <selection activeCell="K7" sqref="K7:N7"/>
    </sheetView>
  </sheetViews>
  <sheetFormatPr defaultColWidth="9.1796875" defaultRowHeight="12.5" x14ac:dyDescent="0.25"/>
  <cols>
    <col min="1" max="1" width="20.453125" style="17" bestFit="1" customWidth="1"/>
    <col min="2" max="8" width="9.1796875" style="17"/>
    <col min="9" max="9" width="12.453125" style="17" bestFit="1" customWidth="1"/>
    <col min="10" max="10" width="20.26953125" style="17" bestFit="1" customWidth="1"/>
    <col min="11" max="11" width="10.1796875" style="17" bestFit="1" customWidth="1"/>
    <col min="12" max="16384" width="9.1796875" style="17"/>
  </cols>
  <sheetData>
    <row r="1" spans="1:39" ht="25" customHeight="1" x14ac:dyDescent="0.25">
      <c r="A1" s="165" t="s">
        <v>24</v>
      </c>
      <c r="B1" s="167" t="str">
        <f>K3</f>
        <v>C</v>
      </c>
      <c r="C1" s="167" t="str">
        <f>L3</f>
        <v>C</v>
      </c>
      <c r="D1" s="167" t="str">
        <f t="shared" ref="D1:E1" si="0">M3</f>
        <v>C</v>
      </c>
      <c r="E1" s="167" t="str">
        <f t="shared" si="0"/>
        <v>C</v>
      </c>
      <c r="F1" s="178" t="s">
        <v>25</v>
      </c>
      <c r="G1" s="183" t="s">
        <v>45</v>
      </c>
      <c r="H1" s="165" t="s">
        <v>46</v>
      </c>
      <c r="I1" s="181" t="s">
        <v>55</v>
      </c>
      <c r="J1" s="182"/>
      <c r="K1" s="18" t="s">
        <v>26</v>
      </c>
      <c r="L1" s="18" t="s">
        <v>27</v>
      </c>
      <c r="M1" s="18" t="s">
        <v>28</v>
      </c>
      <c r="N1" s="18" t="s">
        <v>29</v>
      </c>
    </row>
    <row r="2" spans="1:39" x14ac:dyDescent="0.25">
      <c r="A2" s="166"/>
      <c r="B2" s="168"/>
      <c r="C2" s="168"/>
      <c r="D2" s="168"/>
      <c r="E2" s="168"/>
      <c r="F2" s="178"/>
      <c r="G2" s="184"/>
      <c r="H2" s="186"/>
      <c r="I2" s="187" t="s">
        <v>30</v>
      </c>
      <c r="J2" s="20" t="s">
        <v>31</v>
      </c>
      <c r="K2" s="189">
        <v>110</v>
      </c>
      <c r="L2" s="189"/>
      <c r="M2" s="189"/>
      <c r="N2" s="189"/>
    </row>
    <row r="3" spans="1:39" x14ac:dyDescent="0.25">
      <c r="A3" s="22" t="s">
        <v>32</v>
      </c>
      <c r="B3" s="169" t="s">
        <v>33</v>
      </c>
      <c r="C3" s="170"/>
      <c r="D3" s="170"/>
      <c r="E3" s="171"/>
      <c r="F3" s="165"/>
      <c r="G3" s="185"/>
      <c r="H3" s="166"/>
      <c r="I3" s="188"/>
      <c r="J3" s="25" t="s">
        <v>34</v>
      </c>
      <c r="K3" s="21" t="s">
        <v>35</v>
      </c>
      <c r="L3" s="21" t="str">
        <f>K3</f>
        <v>C</v>
      </c>
      <c r="M3" s="21" t="str">
        <f>L3</f>
        <v>C</v>
      </c>
      <c r="N3" s="21" t="str">
        <f>M3</f>
        <v>C</v>
      </c>
    </row>
    <row r="4" spans="1:39" x14ac:dyDescent="0.25">
      <c r="A4" s="23">
        <v>70</v>
      </c>
      <c r="B4" s="26">
        <f>(MAX(IF($B$1="C",1,-1)*(A4-$K$5),0)-IF($K$10="Y",$K$13*EXP($K$6*$K$9),0))*$K$4</f>
        <v>0</v>
      </c>
      <c r="C4" s="20">
        <f>(MAX(IF($C$1="C",1,-1)*(A4-$L$5),0)-IF($K$10="Y",$L$13*EXP($K$6*$K$9),0))*$L$4</f>
        <v>0</v>
      </c>
      <c r="D4" s="20">
        <f>(MAX(IF($D$1="C",1,-1)*(A4-$M$5),0)-IF($K$10="Y",$M$13*EXP($K$6*$K$9),0))*$M$4</f>
        <v>0</v>
      </c>
      <c r="E4" s="20">
        <f>(MAX(IF($E$1="C",1,-1)*(A4-$N$5),0)-IF($K$10="Y",$N$13*EXP($K$6*$K$9),0))*$N$4</f>
        <v>0</v>
      </c>
      <c r="F4" s="27">
        <f>SUM(B4:E4)</f>
        <v>0</v>
      </c>
      <c r="G4" s="40">
        <f>IF(A4&lt;=$K$18,0,IF(A4&gt;$K$19,0,A4-$K$18))</f>
        <v>0</v>
      </c>
      <c r="H4" s="41">
        <f>F4-G4</f>
        <v>0</v>
      </c>
      <c r="I4" s="186"/>
      <c r="J4" s="25" t="s">
        <v>36</v>
      </c>
      <c r="K4" s="21">
        <v>1</v>
      </c>
      <c r="L4" s="21">
        <v>-1</v>
      </c>
      <c r="M4" s="21">
        <v>-200000</v>
      </c>
      <c r="N4" s="21">
        <f>-M4</f>
        <v>200000</v>
      </c>
      <c r="AL4" s="17" t="s">
        <v>47</v>
      </c>
      <c r="AM4" s="17" t="s">
        <v>48</v>
      </c>
    </row>
    <row r="5" spans="1:39" x14ac:dyDescent="0.25">
      <c r="A5" s="28">
        <f>A4+1</f>
        <v>71</v>
      </c>
      <c r="B5" s="29">
        <f t="shared" ref="B5:B68" si="1">(MAX(IF($B$1="C",1,-1)*(A5-$K$5),0)-IF($K$10="Y",$K$13*EXP($K$6*$K$9),0))*$K$4</f>
        <v>0</v>
      </c>
      <c r="C5" s="30">
        <f t="shared" ref="C5:C68" si="2">(MAX(IF($C$1="C",1,-1)*(A5-$L$5),0)-IF($K$10="Y",$L$13*EXP($K$6*$K$9),0))*$L$4</f>
        <v>0</v>
      </c>
      <c r="D5" s="30">
        <f t="shared" ref="D5:D68" si="3">(MAX(IF($D$1="C",1,-1)*(A5-$M$5),0)-IF($K$10="Y",$M$13*EXP($K$6*$K$9),0))*$M$4</f>
        <v>0</v>
      </c>
      <c r="E5" s="30">
        <f t="shared" ref="E5:E68" si="4">(MAX(IF($E$1="C",1,-1)*(A5-$N$5),0)-IF($K$10="Y",$N$13*EXP($K$6*$K$9),0))*$N$4</f>
        <v>0</v>
      </c>
      <c r="F5" s="31">
        <f t="shared" ref="F5:F68" si="5">SUM(B5:E5)</f>
        <v>0</v>
      </c>
      <c r="G5" s="40">
        <f t="shared" ref="G5:G68" si="6">IF(A5&lt;=$K$18,0,IF(A5&gt;$K$19,0,A5-$K$18))</f>
        <v>0</v>
      </c>
      <c r="H5" s="41">
        <f t="shared" ref="H5:H68" si="7">F5-G5</f>
        <v>0</v>
      </c>
      <c r="I5" s="186"/>
      <c r="J5" s="30" t="s">
        <v>37</v>
      </c>
      <c r="K5" s="21">
        <v>100</v>
      </c>
      <c r="L5" s="21">
        <v>120</v>
      </c>
      <c r="M5" s="21">
        <v>120</v>
      </c>
      <c r="N5" s="21">
        <v>120.0001</v>
      </c>
      <c r="AL5" s="17">
        <v>0</v>
      </c>
      <c r="AM5" s="17">
        <f>MAX(0,(AL5^2)-120)</f>
        <v>0</v>
      </c>
    </row>
    <row r="6" spans="1:39" x14ac:dyDescent="0.25">
      <c r="A6" s="28">
        <f t="shared" ref="A6:A69" si="8">A5+1</f>
        <v>72</v>
      </c>
      <c r="B6" s="29">
        <f t="shared" si="1"/>
        <v>0</v>
      </c>
      <c r="C6" s="30">
        <f t="shared" si="2"/>
        <v>0</v>
      </c>
      <c r="D6" s="30">
        <f t="shared" si="3"/>
        <v>0</v>
      </c>
      <c r="E6" s="30">
        <f t="shared" si="4"/>
        <v>0</v>
      </c>
      <c r="F6" s="31">
        <f t="shared" si="5"/>
        <v>0</v>
      </c>
      <c r="G6" s="40">
        <f t="shared" si="6"/>
        <v>0</v>
      </c>
      <c r="H6" s="41">
        <f t="shared" si="7"/>
        <v>0</v>
      </c>
      <c r="I6" s="186"/>
      <c r="J6" s="30" t="s">
        <v>38</v>
      </c>
      <c r="K6" s="172">
        <v>0.04</v>
      </c>
      <c r="L6" s="173"/>
      <c r="M6" s="173"/>
      <c r="N6" s="174"/>
      <c r="AL6" s="17">
        <f>AL5+2</f>
        <v>2</v>
      </c>
      <c r="AM6" s="17">
        <f t="shared" ref="AM6:AM69" si="9">MAX(0,(AL6^2)-120)</f>
        <v>0</v>
      </c>
    </row>
    <row r="7" spans="1:39" x14ac:dyDescent="0.25">
      <c r="A7" s="28">
        <f t="shared" si="8"/>
        <v>73</v>
      </c>
      <c r="B7" s="29">
        <f t="shared" si="1"/>
        <v>0</v>
      </c>
      <c r="C7" s="30">
        <f t="shared" si="2"/>
        <v>0</v>
      </c>
      <c r="D7" s="30">
        <f t="shared" si="3"/>
        <v>0</v>
      </c>
      <c r="E7" s="30">
        <f t="shared" si="4"/>
        <v>0</v>
      </c>
      <c r="F7" s="31">
        <f t="shared" si="5"/>
        <v>0</v>
      </c>
      <c r="G7" s="40">
        <f t="shared" si="6"/>
        <v>0</v>
      </c>
      <c r="H7" s="41">
        <f t="shared" si="7"/>
        <v>0</v>
      </c>
      <c r="I7" s="186"/>
      <c r="J7" s="30" t="s">
        <v>39</v>
      </c>
      <c r="K7" s="172">
        <v>0.01</v>
      </c>
      <c r="L7" s="173"/>
      <c r="M7" s="173"/>
      <c r="N7" s="174"/>
      <c r="AL7" s="17">
        <f t="shared" ref="AL7:AL70" si="10">AL6+2</f>
        <v>4</v>
      </c>
      <c r="AM7" s="17">
        <f t="shared" si="9"/>
        <v>0</v>
      </c>
    </row>
    <row r="8" spans="1:39" x14ac:dyDescent="0.25">
      <c r="A8" s="28">
        <f t="shared" si="8"/>
        <v>74</v>
      </c>
      <c r="B8" s="29">
        <f t="shared" si="1"/>
        <v>0</v>
      </c>
      <c r="C8" s="30">
        <f t="shared" si="2"/>
        <v>0</v>
      </c>
      <c r="D8" s="30">
        <f t="shared" si="3"/>
        <v>0</v>
      </c>
      <c r="E8" s="30">
        <f t="shared" si="4"/>
        <v>0</v>
      </c>
      <c r="F8" s="31">
        <f t="shared" si="5"/>
        <v>0</v>
      </c>
      <c r="G8" s="40">
        <f t="shared" si="6"/>
        <v>0</v>
      </c>
      <c r="H8" s="41">
        <f t="shared" si="7"/>
        <v>0</v>
      </c>
      <c r="I8" s="186"/>
      <c r="J8" s="30" t="s">
        <v>40</v>
      </c>
      <c r="K8" s="172">
        <v>0.3</v>
      </c>
      <c r="L8" s="173"/>
      <c r="M8" s="173"/>
      <c r="N8" s="174"/>
      <c r="AL8" s="17">
        <f t="shared" si="10"/>
        <v>6</v>
      </c>
      <c r="AM8" s="17">
        <f t="shared" si="9"/>
        <v>0</v>
      </c>
    </row>
    <row r="9" spans="1:39" x14ac:dyDescent="0.25">
      <c r="A9" s="28">
        <f t="shared" si="8"/>
        <v>75</v>
      </c>
      <c r="B9" s="29">
        <f t="shared" si="1"/>
        <v>0</v>
      </c>
      <c r="C9" s="30">
        <f t="shared" si="2"/>
        <v>0</v>
      </c>
      <c r="D9" s="30">
        <f t="shared" si="3"/>
        <v>0</v>
      </c>
      <c r="E9" s="30">
        <f t="shared" si="4"/>
        <v>0</v>
      </c>
      <c r="F9" s="31">
        <f t="shared" si="5"/>
        <v>0</v>
      </c>
      <c r="G9" s="40">
        <f t="shared" si="6"/>
        <v>0</v>
      </c>
      <c r="H9" s="41">
        <f t="shared" si="7"/>
        <v>0</v>
      </c>
      <c r="I9" s="186"/>
      <c r="J9" s="32" t="s">
        <v>41</v>
      </c>
      <c r="K9" s="175">
        <v>1</v>
      </c>
      <c r="L9" s="176"/>
      <c r="M9" s="176"/>
      <c r="N9" s="177"/>
      <c r="AL9" s="17">
        <f t="shared" si="10"/>
        <v>8</v>
      </c>
      <c r="AM9" s="17">
        <f t="shared" si="9"/>
        <v>0</v>
      </c>
    </row>
    <row r="10" spans="1:39" x14ac:dyDescent="0.25">
      <c r="A10" s="28">
        <f t="shared" si="8"/>
        <v>76</v>
      </c>
      <c r="B10" s="29">
        <f t="shared" si="1"/>
        <v>0</v>
      </c>
      <c r="C10" s="30">
        <f t="shared" si="2"/>
        <v>0</v>
      </c>
      <c r="D10" s="30">
        <f t="shared" si="3"/>
        <v>0</v>
      </c>
      <c r="E10" s="30">
        <f t="shared" si="4"/>
        <v>0</v>
      </c>
      <c r="F10" s="31">
        <f t="shared" si="5"/>
        <v>0</v>
      </c>
      <c r="G10" s="40">
        <f t="shared" si="6"/>
        <v>0</v>
      </c>
      <c r="H10" s="41">
        <f t="shared" si="7"/>
        <v>0</v>
      </c>
      <c r="I10" s="166"/>
      <c r="J10" s="33" t="s">
        <v>42</v>
      </c>
      <c r="K10" s="175" t="s">
        <v>49</v>
      </c>
      <c r="L10" s="176"/>
      <c r="M10" s="176"/>
      <c r="N10" s="177"/>
      <c r="AL10" s="17">
        <f t="shared" si="10"/>
        <v>10</v>
      </c>
      <c r="AM10" s="17">
        <f t="shared" si="9"/>
        <v>0</v>
      </c>
    </row>
    <row r="11" spans="1:39" x14ac:dyDescent="0.25">
      <c r="A11" s="28">
        <f t="shared" si="8"/>
        <v>77</v>
      </c>
      <c r="B11" s="29">
        <f t="shared" si="1"/>
        <v>0</v>
      </c>
      <c r="C11" s="30">
        <f t="shared" si="2"/>
        <v>0</v>
      </c>
      <c r="D11" s="30">
        <f t="shared" si="3"/>
        <v>0</v>
      </c>
      <c r="E11" s="30">
        <f t="shared" si="4"/>
        <v>0</v>
      </c>
      <c r="F11" s="31">
        <f t="shared" si="5"/>
        <v>0</v>
      </c>
      <c r="G11" s="40">
        <f t="shared" si="6"/>
        <v>0</v>
      </c>
      <c r="H11" s="41">
        <f t="shared" si="7"/>
        <v>0</v>
      </c>
      <c r="I11" s="16" t="s">
        <v>43</v>
      </c>
      <c r="J11" s="26" t="s">
        <v>2</v>
      </c>
      <c r="K11" s="22">
        <f>(LN($K$2/K5)+(($K$6-$K$7+(0.5*$K$8*$K$8))*$K$9))/($K$8*SQRT($K$9))</f>
        <v>0.56770059934774986</v>
      </c>
      <c r="L11" s="22">
        <f>(LN($K$2/L5)+(($K$6-$K$7+(0.5*$K$8*$K$8))*$K$9))/($K$8*SQRT($K$9))</f>
        <v>-4.0037923298766043E-2</v>
      </c>
      <c r="M11" s="22">
        <f>(LN($K$2/M5)+(($K$6-$K$7+(0.5*$K$8*$K$8))*$K$9))/($K$8*SQRT($K$9))</f>
        <v>-4.0037923298766043E-2</v>
      </c>
      <c r="N11" s="22">
        <f>(LN($K$2/N5)+(($K$6-$K$7+(0.5*$K$8*$K$8))*$K$9))/($K$8*SQRT($K$9))</f>
        <v>-4.0040701075386431E-2</v>
      </c>
      <c r="AL11" s="17">
        <f t="shared" si="10"/>
        <v>12</v>
      </c>
      <c r="AM11" s="17">
        <f t="shared" si="9"/>
        <v>24</v>
      </c>
    </row>
    <row r="12" spans="1:39" x14ac:dyDescent="0.25">
      <c r="A12" s="28">
        <f t="shared" si="8"/>
        <v>78</v>
      </c>
      <c r="B12" s="29">
        <f t="shared" si="1"/>
        <v>0</v>
      </c>
      <c r="C12" s="30">
        <f t="shared" si="2"/>
        <v>0</v>
      </c>
      <c r="D12" s="30">
        <f t="shared" si="3"/>
        <v>0</v>
      </c>
      <c r="E12" s="30">
        <f t="shared" si="4"/>
        <v>0</v>
      </c>
      <c r="F12" s="31">
        <f t="shared" si="5"/>
        <v>0</v>
      </c>
      <c r="G12" s="40">
        <f t="shared" si="6"/>
        <v>0</v>
      </c>
      <c r="H12" s="41">
        <f t="shared" si="7"/>
        <v>0</v>
      </c>
      <c r="I12" s="24"/>
      <c r="J12" s="29" t="s">
        <v>3</v>
      </c>
      <c r="K12" s="34">
        <f>K11-($K$8*SQRT($K$9))</f>
        <v>0.26770059934774987</v>
      </c>
      <c r="L12" s="34">
        <f>L11-($K$8*SQRT($K$9))</f>
        <v>-0.34003792329876603</v>
      </c>
      <c r="M12" s="34">
        <f>M11-($K$8*SQRT($K$9))</f>
        <v>-0.34003792329876603</v>
      </c>
      <c r="N12" s="34">
        <f>N11-($K$8*SQRT($K$9))</f>
        <v>-0.34004070107538642</v>
      </c>
      <c r="AL12" s="17">
        <f t="shared" si="10"/>
        <v>14</v>
      </c>
      <c r="AM12" s="17">
        <f t="shared" si="9"/>
        <v>76</v>
      </c>
    </row>
    <row r="13" spans="1:39" x14ac:dyDescent="0.25">
      <c r="A13" s="28">
        <f t="shared" si="8"/>
        <v>79</v>
      </c>
      <c r="B13" s="29">
        <f t="shared" si="1"/>
        <v>0</v>
      </c>
      <c r="C13" s="30">
        <f t="shared" si="2"/>
        <v>0</v>
      </c>
      <c r="D13" s="30">
        <f t="shared" si="3"/>
        <v>0</v>
      </c>
      <c r="E13" s="30">
        <f t="shared" si="4"/>
        <v>0</v>
      </c>
      <c r="F13" s="31">
        <f t="shared" si="5"/>
        <v>0</v>
      </c>
      <c r="G13" s="40">
        <f t="shared" si="6"/>
        <v>0</v>
      </c>
      <c r="H13" s="41">
        <f t="shared" si="7"/>
        <v>0</v>
      </c>
      <c r="I13" s="19"/>
      <c r="J13" s="35" t="s">
        <v>44</v>
      </c>
      <c r="K13" s="36">
        <f>IF(K3="C",($K$2*EXP(-$K$7*$K$9)*NORMSDIST(K11))-(K5*EXP(-$K$6*$K$9)*NORMSDIST(K12)),(-$K$2*EXP(-$K$7*$K$9)*NORMSDIST(-K11))-(-K5*EXP(-$K$6*$K$9)*NORMSDIST(-K12)))</f>
        <v>19.675270711581121</v>
      </c>
      <c r="L13" s="36">
        <f>IF(L3="C",($K$2*EXP(-$K$7*$K$9)*NORMSDIST(L11))-(L5*EXP(-$K$6*$K$9)*NORMSDIST(L12)),(-$K$2*EXP(-$K$7*$K$9)*NORMSDIST(-L11))-(-L5*EXP(-$K$6*$K$9)*NORMSDIST(-L12)))</f>
        <v>10.410428026973804</v>
      </c>
      <c r="M13" s="36">
        <f>IF(M3="C",($K$2*EXP(-$K$7*$K$9)*NORMSDIST(M11))-(M5*EXP(-$K$6*$K$9)*NORMSDIST(M12)),(-$K$2*EXP(-$K$7*$K$9)*NORMSDIST(-M11))-(-M5*EXP(-$K$6*$K$9)*NORMSDIST(-M12)))</f>
        <v>10.410428026973804</v>
      </c>
      <c r="N13" s="36">
        <f>IF(N3="C",($K$2*EXP(-$K$7*$K$9)*NORMSDIST(N11))-(N5*EXP(-$K$6*$K$9)*NORMSDIST(N12)),(-$K$2*EXP(-$K$7*$K$9)*NORMSDIST(-N11))-(-N5*EXP(-$K$6*$K$9)*NORMSDIST(-N12)))</f>
        <v>10.410392774315902</v>
      </c>
      <c r="AL13" s="17">
        <f t="shared" si="10"/>
        <v>16</v>
      </c>
      <c r="AM13" s="17">
        <f t="shared" si="9"/>
        <v>136</v>
      </c>
    </row>
    <row r="14" spans="1:39" x14ac:dyDescent="0.25">
      <c r="A14" s="28">
        <f t="shared" si="8"/>
        <v>80</v>
      </c>
      <c r="B14" s="29">
        <f t="shared" si="1"/>
        <v>0</v>
      </c>
      <c r="C14" s="30">
        <f t="shared" si="2"/>
        <v>0</v>
      </c>
      <c r="D14" s="30">
        <f t="shared" si="3"/>
        <v>0</v>
      </c>
      <c r="E14" s="30">
        <f t="shared" si="4"/>
        <v>0</v>
      </c>
      <c r="F14" s="31">
        <f t="shared" si="5"/>
        <v>0</v>
      </c>
      <c r="G14" s="40">
        <f t="shared" si="6"/>
        <v>0</v>
      </c>
      <c r="H14" s="41">
        <f t="shared" si="7"/>
        <v>0</v>
      </c>
      <c r="J14" s="21" t="s">
        <v>50</v>
      </c>
      <c r="K14" s="42">
        <f>SUMPRODUCT(K4:N4,K13:N13)</f>
        <v>2.2143111042678356</v>
      </c>
      <c r="AL14" s="17">
        <f t="shared" si="10"/>
        <v>18</v>
      </c>
      <c r="AM14" s="17">
        <f t="shared" si="9"/>
        <v>204</v>
      </c>
    </row>
    <row r="15" spans="1:39" x14ac:dyDescent="0.25">
      <c r="A15" s="28">
        <f t="shared" si="8"/>
        <v>81</v>
      </c>
      <c r="B15" s="29">
        <f t="shared" si="1"/>
        <v>0</v>
      </c>
      <c r="C15" s="30">
        <f t="shared" si="2"/>
        <v>0</v>
      </c>
      <c r="D15" s="30">
        <f t="shared" si="3"/>
        <v>0</v>
      </c>
      <c r="E15" s="30">
        <f t="shared" si="4"/>
        <v>0</v>
      </c>
      <c r="F15" s="31">
        <f t="shared" si="5"/>
        <v>0</v>
      </c>
      <c r="G15" s="40">
        <f t="shared" si="6"/>
        <v>0</v>
      </c>
      <c r="H15" s="41">
        <f t="shared" si="7"/>
        <v>0</v>
      </c>
      <c r="AL15" s="17">
        <f t="shared" si="10"/>
        <v>20</v>
      </c>
      <c r="AM15" s="17">
        <f t="shared" si="9"/>
        <v>280</v>
      </c>
    </row>
    <row r="16" spans="1:39" ht="13" thickBot="1" x14ac:dyDescent="0.3">
      <c r="A16" s="28">
        <f t="shared" si="8"/>
        <v>82</v>
      </c>
      <c r="B16" s="29">
        <f t="shared" si="1"/>
        <v>0</v>
      </c>
      <c r="C16" s="30">
        <f t="shared" si="2"/>
        <v>0</v>
      </c>
      <c r="D16" s="30">
        <f t="shared" si="3"/>
        <v>0</v>
      </c>
      <c r="E16" s="30">
        <f t="shared" si="4"/>
        <v>0</v>
      </c>
      <c r="F16" s="31">
        <f t="shared" si="5"/>
        <v>0</v>
      </c>
      <c r="G16" s="40">
        <f t="shared" si="6"/>
        <v>0</v>
      </c>
      <c r="H16" s="41">
        <f t="shared" si="7"/>
        <v>0</v>
      </c>
      <c r="AL16" s="17">
        <f t="shared" si="10"/>
        <v>22</v>
      </c>
      <c r="AM16" s="17">
        <f t="shared" si="9"/>
        <v>364</v>
      </c>
    </row>
    <row r="17" spans="1:39" ht="13" thickBot="1" x14ac:dyDescent="0.3">
      <c r="A17" s="28">
        <f t="shared" si="8"/>
        <v>83</v>
      </c>
      <c r="B17" s="29">
        <f t="shared" si="1"/>
        <v>0</v>
      </c>
      <c r="C17" s="30">
        <f t="shared" si="2"/>
        <v>0</v>
      </c>
      <c r="D17" s="30">
        <f t="shared" si="3"/>
        <v>0</v>
      </c>
      <c r="E17" s="30">
        <f t="shared" si="4"/>
        <v>0</v>
      </c>
      <c r="F17" s="31">
        <f t="shared" si="5"/>
        <v>0</v>
      </c>
      <c r="G17" s="40">
        <f t="shared" si="6"/>
        <v>0</v>
      </c>
      <c r="H17" s="41">
        <f t="shared" si="7"/>
        <v>0</v>
      </c>
      <c r="J17" s="179" t="s">
        <v>54</v>
      </c>
      <c r="K17" s="180"/>
      <c r="AL17" s="17">
        <f t="shared" si="10"/>
        <v>24</v>
      </c>
      <c r="AM17" s="17">
        <f t="shared" si="9"/>
        <v>456</v>
      </c>
    </row>
    <row r="18" spans="1:39" x14ac:dyDescent="0.25">
      <c r="A18" s="28">
        <f t="shared" si="8"/>
        <v>84</v>
      </c>
      <c r="B18" s="29">
        <f t="shared" si="1"/>
        <v>0</v>
      </c>
      <c r="C18" s="30">
        <f t="shared" si="2"/>
        <v>0</v>
      </c>
      <c r="D18" s="30">
        <f t="shared" si="3"/>
        <v>0</v>
      </c>
      <c r="E18" s="30">
        <f t="shared" si="4"/>
        <v>0</v>
      </c>
      <c r="F18" s="31">
        <f t="shared" si="5"/>
        <v>0</v>
      </c>
      <c r="G18" s="40">
        <f t="shared" si="6"/>
        <v>0</v>
      </c>
      <c r="H18" s="41">
        <f t="shared" si="7"/>
        <v>0</v>
      </c>
      <c r="J18" s="45" t="s">
        <v>52</v>
      </c>
      <c r="K18" s="43">
        <v>100</v>
      </c>
      <c r="AL18" s="17">
        <f t="shared" si="10"/>
        <v>26</v>
      </c>
      <c r="AM18" s="17">
        <f t="shared" si="9"/>
        <v>556</v>
      </c>
    </row>
    <row r="19" spans="1:39" x14ac:dyDescent="0.25">
      <c r="A19" s="28">
        <f t="shared" si="8"/>
        <v>85</v>
      </c>
      <c r="B19" s="29">
        <f t="shared" si="1"/>
        <v>0</v>
      </c>
      <c r="C19" s="30">
        <f t="shared" si="2"/>
        <v>0</v>
      </c>
      <c r="D19" s="30">
        <f t="shared" si="3"/>
        <v>0</v>
      </c>
      <c r="E19" s="30">
        <f t="shared" si="4"/>
        <v>0</v>
      </c>
      <c r="F19" s="31">
        <f t="shared" si="5"/>
        <v>0</v>
      </c>
      <c r="G19" s="40">
        <f t="shared" si="6"/>
        <v>0</v>
      </c>
      <c r="H19" s="41">
        <f t="shared" si="7"/>
        <v>0</v>
      </c>
      <c r="J19" s="44" t="s">
        <v>53</v>
      </c>
      <c r="K19" s="43">
        <v>120</v>
      </c>
      <c r="AL19" s="17">
        <f t="shared" si="10"/>
        <v>28</v>
      </c>
      <c r="AM19" s="17">
        <f t="shared" si="9"/>
        <v>664</v>
      </c>
    </row>
    <row r="20" spans="1:39" ht="13" x14ac:dyDescent="0.3">
      <c r="A20" s="28">
        <f t="shared" si="8"/>
        <v>86</v>
      </c>
      <c r="B20" s="29">
        <f t="shared" si="1"/>
        <v>0</v>
      </c>
      <c r="C20" s="30">
        <f t="shared" si="2"/>
        <v>0</v>
      </c>
      <c r="D20" s="30">
        <f t="shared" si="3"/>
        <v>0</v>
      </c>
      <c r="E20" s="30">
        <f t="shared" si="4"/>
        <v>0</v>
      </c>
      <c r="F20" s="31">
        <f t="shared" si="5"/>
        <v>0</v>
      </c>
      <c r="G20" s="40">
        <f t="shared" si="6"/>
        <v>0</v>
      </c>
      <c r="H20" s="41">
        <f t="shared" si="7"/>
        <v>0</v>
      </c>
      <c r="J20" s="44" t="s">
        <v>51</v>
      </c>
      <c r="K20" s="46">
        <f>-K13+L13-((K19-K18)*NORMSDIST(-K12)*EXP(-K6*K9))</f>
        <v>-16.84479677420757</v>
      </c>
      <c r="AL20" s="17">
        <f t="shared" si="10"/>
        <v>30</v>
      </c>
      <c r="AM20" s="17">
        <f t="shared" si="9"/>
        <v>780</v>
      </c>
    </row>
    <row r="21" spans="1:39" x14ac:dyDescent="0.25">
      <c r="A21" s="28">
        <f t="shared" si="8"/>
        <v>87</v>
      </c>
      <c r="B21" s="29">
        <f t="shared" si="1"/>
        <v>0</v>
      </c>
      <c r="C21" s="30">
        <f t="shared" si="2"/>
        <v>0</v>
      </c>
      <c r="D21" s="30">
        <f t="shared" si="3"/>
        <v>0</v>
      </c>
      <c r="E21" s="30">
        <f t="shared" si="4"/>
        <v>0</v>
      </c>
      <c r="F21" s="31">
        <f t="shared" si="5"/>
        <v>0</v>
      </c>
      <c r="G21" s="40">
        <f t="shared" si="6"/>
        <v>0</v>
      </c>
      <c r="H21" s="41">
        <f t="shared" si="7"/>
        <v>0</v>
      </c>
      <c r="AL21" s="17">
        <f t="shared" si="10"/>
        <v>32</v>
      </c>
      <c r="AM21" s="17">
        <f t="shared" si="9"/>
        <v>904</v>
      </c>
    </row>
    <row r="22" spans="1:39" x14ac:dyDescent="0.25">
      <c r="A22" s="28">
        <f t="shared" si="8"/>
        <v>88</v>
      </c>
      <c r="B22" s="29">
        <f t="shared" si="1"/>
        <v>0</v>
      </c>
      <c r="C22" s="30">
        <f t="shared" si="2"/>
        <v>0</v>
      </c>
      <c r="D22" s="30">
        <f t="shared" si="3"/>
        <v>0</v>
      </c>
      <c r="E22" s="30">
        <f t="shared" si="4"/>
        <v>0</v>
      </c>
      <c r="F22" s="31">
        <f t="shared" si="5"/>
        <v>0</v>
      </c>
      <c r="G22" s="40">
        <f t="shared" si="6"/>
        <v>0</v>
      </c>
      <c r="H22" s="41">
        <f t="shared" si="7"/>
        <v>0</v>
      </c>
      <c r="AL22" s="17">
        <f t="shared" si="10"/>
        <v>34</v>
      </c>
      <c r="AM22" s="17">
        <f t="shared" si="9"/>
        <v>1036</v>
      </c>
    </row>
    <row r="23" spans="1:39" x14ac:dyDescent="0.25">
      <c r="A23" s="28">
        <f t="shared" si="8"/>
        <v>89</v>
      </c>
      <c r="B23" s="29">
        <f t="shared" si="1"/>
        <v>0</v>
      </c>
      <c r="C23" s="30">
        <f t="shared" si="2"/>
        <v>0</v>
      </c>
      <c r="D23" s="30">
        <f t="shared" si="3"/>
        <v>0</v>
      </c>
      <c r="E23" s="30">
        <f t="shared" si="4"/>
        <v>0</v>
      </c>
      <c r="F23" s="31">
        <f t="shared" si="5"/>
        <v>0</v>
      </c>
      <c r="G23" s="40">
        <f t="shared" si="6"/>
        <v>0</v>
      </c>
      <c r="H23" s="41">
        <f t="shared" si="7"/>
        <v>0</v>
      </c>
      <c r="AL23" s="17">
        <f t="shared" si="10"/>
        <v>36</v>
      </c>
      <c r="AM23" s="17">
        <f t="shared" si="9"/>
        <v>1176</v>
      </c>
    </row>
    <row r="24" spans="1:39" x14ac:dyDescent="0.25">
      <c r="A24" s="28">
        <f t="shared" si="8"/>
        <v>90</v>
      </c>
      <c r="B24" s="29">
        <f t="shared" si="1"/>
        <v>0</v>
      </c>
      <c r="C24" s="30">
        <f t="shared" si="2"/>
        <v>0</v>
      </c>
      <c r="D24" s="30">
        <f t="shared" si="3"/>
        <v>0</v>
      </c>
      <c r="E24" s="30">
        <f t="shared" si="4"/>
        <v>0</v>
      </c>
      <c r="F24" s="31">
        <f t="shared" si="5"/>
        <v>0</v>
      </c>
      <c r="G24" s="40">
        <f t="shared" si="6"/>
        <v>0</v>
      </c>
      <c r="H24" s="41">
        <f t="shared" si="7"/>
        <v>0</v>
      </c>
      <c r="AL24" s="17">
        <f t="shared" si="10"/>
        <v>38</v>
      </c>
      <c r="AM24" s="17">
        <f t="shared" si="9"/>
        <v>1324</v>
      </c>
    </row>
    <row r="25" spans="1:39" x14ac:dyDescent="0.25">
      <c r="A25" s="28">
        <f t="shared" si="8"/>
        <v>91</v>
      </c>
      <c r="B25" s="29">
        <f t="shared" si="1"/>
        <v>0</v>
      </c>
      <c r="C25" s="30">
        <f t="shared" si="2"/>
        <v>0</v>
      </c>
      <c r="D25" s="30">
        <f t="shared" si="3"/>
        <v>0</v>
      </c>
      <c r="E25" s="30">
        <f t="shared" si="4"/>
        <v>0</v>
      </c>
      <c r="F25" s="31">
        <f t="shared" si="5"/>
        <v>0</v>
      </c>
      <c r="G25" s="40">
        <f t="shared" si="6"/>
        <v>0</v>
      </c>
      <c r="H25" s="41">
        <f t="shared" si="7"/>
        <v>0</v>
      </c>
      <c r="I25" s="37"/>
      <c r="AL25" s="17">
        <f t="shared" si="10"/>
        <v>40</v>
      </c>
      <c r="AM25" s="17">
        <f t="shared" si="9"/>
        <v>1480</v>
      </c>
    </row>
    <row r="26" spans="1:39" x14ac:dyDescent="0.25">
      <c r="A26" s="28">
        <f t="shared" si="8"/>
        <v>92</v>
      </c>
      <c r="B26" s="29">
        <f t="shared" si="1"/>
        <v>0</v>
      </c>
      <c r="C26" s="30">
        <f t="shared" si="2"/>
        <v>0</v>
      </c>
      <c r="D26" s="30">
        <f t="shared" si="3"/>
        <v>0</v>
      </c>
      <c r="E26" s="30">
        <f t="shared" si="4"/>
        <v>0</v>
      </c>
      <c r="F26" s="31">
        <f t="shared" si="5"/>
        <v>0</v>
      </c>
      <c r="G26" s="40">
        <f t="shared" si="6"/>
        <v>0</v>
      </c>
      <c r="H26" s="41">
        <f t="shared" si="7"/>
        <v>0</v>
      </c>
      <c r="AL26" s="17">
        <f t="shared" si="10"/>
        <v>42</v>
      </c>
      <c r="AM26" s="17">
        <f t="shared" si="9"/>
        <v>1644</v>
      </c>
    </row>
    <row r="27" spans="1:39" x14ac:dyDescent="0.25">
      <c r="A27" s="28">
        <f t="shared" si="8"/>
        <v>93</v>
      </c>
      <c r="B27" s="29">
        <f t="shared" si="1"/>
        <v>0</v>
      </c>
      <c r="C27" s="30">
        <f t="shared" si="2"/>
        <v>0</v>
      </c>
      <c r="D27" s="30">
        <f t="shared" si="3"/>
        <v>0</v>
      </c>
      <c r="E27" s="30">
        <f t="shared" si="4"/>
        <v>0</v>
      </c>
      <c r="F27" s="31">
        <f t="shared" si="5"/>
        <v>0</v>
      </c>
      <c r="G27" s="40">
        <f t="shared" si="6"/>
        <v>0</v>
      </c>
      <c r="H27" s="41">
        <f t="shared" si="7"/>
        <v>0</v>
      </c>
      <c r="AL27" s="17">
        <f t="shared" si="10"/>
        <v>44</v>
      </c>
      <c r="AM27" s="17">
        <f t="shared" si="9"/>
        <v>1816</v>
      </c>
    </row>
    <row r="28" spans="1:39" x14ac:dyDescent="0.25">
      <c r="A28" s="28">
        <f t="shared" si="8"/>
        <v>94</v>
      </c>
      <c r="B28" s="29">
        <f t="shared" si="1"/>
        <v>0</v>
      </c>
      <c r="C28" s="30">
        <f t="shared" si="2"/>
        <v>0</v>
      </c>
      <c r="D28" s="30">
        <f t="shared" si="3"/>
        <v>0</v>
      </c>
      <c r="E28" s="30">
        <f t="shared" si="4"/>
        <v>0</v>
      </c>
      <c r="F28" s="31">
        <f t="shared" si="5"/>
        <v>0</v>
      </c>
      <c r="G28" s="40">
        <f t="shared" si="6"/>
        <v>0</v>
      </c>
      <c r="H28" s="41">
        <f t="shared" si="7"/>
        <v>0</v>
      </c>
      <c r="AL28" s="17">
        <f t="shared" si="10"/>
        <v>46</v>
      </c>
      <c r="AM28" s="17">
        <f t="shared" si="9"/>
        <v>1996</v>
      </c>
    </row>
    <row r="29" spans="1:39" x14ac:dyDescent="0.25">
      <c r="A29" s="28">
        <f t="shared" si="8"/>
        <v>95</v>
      </c>
      <c r="B29" s="29">
        <f t="shared" si="1"/>
        <v>0</v>
      </c>
      <c r="C29" s="30">
        <f t="shared" si="2"/>
        <v>0</v>
      </c>
      <c r="D29" s="30">
        <f t="shared" si="3"/>
        <v>0</v>
      </c>
      <c r="E29" s="30">
        <f t="shared" si="4"/>
        <v>0</v>
      </c>
      <c r="F29" s="31">
        <f t="shared" si="5"/>
        <v>0</v>
      </c>
      <c r="G29" s="40">
        <f t="shared" si="6"/>
        <v>0</v>
      </c>
      <c r="H29" s="41">
        <f t="shared" si="7"/>
        <v>0</v>
      </c>
      <c r="AL29" s="17">
        <f t="shared" si="10"/>
        <v>48</v>
      </c>
      <c r="AM29" s="17">
        <f t="shared" si="9"/>
        <v>2184</v>
      </c>
    </row>
    <row r="30" spans="1:39" x14ac:dyDescent="0.25">
      <c r="A30" s="28">
        <f t="shared" si="8"/>
        <v>96</v>
      </c>
      <c r="B30" s="29">
        <f t="shared" si="1"/>
        <v>0</v>
      </c>
      <c r="C30" s="30">
        <f t="shared" si="2"/>
        <v>0</v>
      </c>
      <c r="D30" s="30">
        <f t="shared" si="3"/>
        <v>0</v>
      </c>
      <c r="E30" s="30">
        <f t="shared" si="4"/>
        <v>0</v>
      </c>
      <c r="F30" s="31">
        <f t="shared" si="5"/>
        <v>0</v>
      </c>
      <c r="G30" s="40">
        <f t="shared" si="6"/>
        <v>0</v>
      </c>
      <c r="H30" s="41">
        <f t="shared" si="7"/>
        <v>0</v>
      </c>
      <c r="AL30" s="17">
        <f t="shared" si="10"/>
        <v>50</v>
      </c>
      <c r="AM30" s="17">
        <f t="shared" si="9"/>
        <v>2380</v>
      </c>
    </row>
    <row r="31" spans="1:39" x14ac:dyDescent="0.25">
      <c r="A31" s="28">
        <f t="shared" si="8"/>
        <v>97</v>
      </c>
      <c r="B31" s="29">
        <f t="shared" si="1"/>
        <v>0</v>
      </c>
      <c r="C31" s="30">
        <f t="shared" si="2"/>
        <v>0</v>
      </c>
      <c r="D31" s="30">
        <f t="shared" si="3"/>
        <v>0</v>
      </c>
      <c r="E31" s="30">
        <f t="shared" si="4"/>
        <v>0</v>
      </c>
      <c r="F31" s="31">
        <f t="shared" si="5"/>
        <v>0</v>
      </c>
      <c r="G31" s="40">
        <f t="shared" si="6"/>
        <v>0</v>
      </c>
      <c r="H31" s="41">
        <f t="shared" si="7"/>
        <v>0</v>
      </c>
      <c r="AL31" s="17">
        <f t="shared" si="10"/>
        <v>52</v>
      </c>
      <c r="AM31" s="17">
        <f t="shared" si="9"/>
        <v>2584</v>
      </c>
    </row>
    <row r="32" spans="1:39" x14ac:dyDescent="0.25">
      <c r="A32" s="28">
        <f t="shared" si="8"/>
        <v>98</v>
      </c>
      <c r="B32" s="29">
        <f t="shared" si="1"/>
        <v>0</v>
      </c>
      <c r="C32" s="30">
        <f t="shared" si="2"/>
        <v>0</v>
      </c>
      <c r="D32" s="30">
        <f t="shared" si="3"/>
        <v>0</v>
      </c>
      <c r="E32" s="30">
        <f t="shared" si="4"/>
        <v>0</v>
      </c>
      <c r="F32" s="31">
        <f t="shared" si="5"/>
        <v>0</v>
      </c>
      <c r="G32" s="40">
        <f t="shared" si="6"/>
        <v>0</v>
      </c>
      <c r="H32" s="41">
        <f t="shared" si="7"/>
        <v>0</v>
      </c>
      <c r="AL32" s="17">
        <f t="shared" si="10"/>
        <v>54</v>
      </c>
      <c r="AM32" s="17">
        <f t="shared" si="9"/>
        <v>2796</v>
      </c>
    </row>
    <row r="33" spans="1:39" x14ac:dyDescent="0.25">
      <c r="A33" s="28">
        <f t="shared" si="8"/>
        <v>99</v>
      </c>
      <c r="B33" s="29">
        <f t="shared" si="1"/>
        <v>0</v>
      </c>
      <c r="C33" s="30">
        <f t="shared" si="2"/>
        <v>0</v>
      </c>
      <c r="D33" s="30">
        <f t="shared" si="3"/>
        <v>0</v>
      </c>
      <c r="E33" s="30">
        <f t="shared" si="4"/>
        <v>0</v>
      </c>
      <c r="F33" s="31">
        <f t="shared" si="5"/>
        <v>0</v>
      </c>
      <c r="G33" s="40">
        <f t="shared" si="6"/>
        <v>0</v>
      </c>
      <c r="H33" s="41">
        <f t="shared" si="7"/>
        <v>0</v>
      </c>
      <c r="AL33" s="17">
        <f t="shared" si="10"/>
        <v>56</v>
      </c>
      <c r="AM33" s="17">
        <f t="shared" si="9"/>
        <v>3016</v>
      </c>
    </row>
    <row r="34" spans="1:39" x14ac:dyDescent="0.25">
      <c r="A34" s="28">
        <f t="shared" si="8"/>
        <v>100</v>
      </c>
      <c r="B34" s="29">
        <f t="shared" si="1"/>
        <v>0</v>
      </c>
      <c r="C34" s="30">
        <f t="shared" si="2"/>
        <v>0</v>
      </c>
      <c r="D34" s="30">
        <f t="shared" si="3"/>
        <v>0</v>
      </c>
      <c r="E34" s="30">
        <f t="shared" si="4"/>
        <v>0</v>
      </c>
      <c r="F34" s="31">
        <f t="shared" si="5"/>
        <v>0</v>
      </c>
      <c r="G34" s="40">
        <f t="shared" si="6"/>
        <v>0</v>
      </c>
      <c r="H34" s="41">
        <f t="shared" si="7"/>
        <v>0</v>
      </c>
      <c r="AL34" s="17">
        <f t="shared" si="10"/>
        <v>58</v>
      </c>
      <c r="AM34" s="17">
        <f t="shared" si="9"/>
        <v>3244</v>
      </c>
    </row>
    <row r="35" spans="1:39" x14ac:dyDescent="0.25">
      <c r="A35" s="28">
        <f t="shared" si="8"/>
        <v>101</v>
      </c>
      <c r="B35" s="29">
        <f t="shared" si="1"/>
        <v>1</v>
      </c>
      <c r="C35" s="30">
        <f t="shared" si="2"/>
        <v>0</v>
      </c>
      <c r="D35" s="30">
        <f t="shared" si="3"/>
        <v>0</v>
      </c>
      <c r="E35" s="30">
        <f t="shared" si="4"/>
        <v>0</v>
      </c>
      <c r="F35" s="31">
        <f t="shared" si="5"/>
        <v>1</v>
      </c>
      <c r="G35" s="40">
        <f t="shared" si="6"/>
        <v>1</v>
      </c>
      <c r="H35" s="41">
        <f t="shared" si="7"/>
        <v>0</v>
      </c>
      <c r="AL35" s="17">
        <f t="shared" si="10"/>
        <v>60</v>
      </c>
      <c r="AM35" s="17">
        <f t="shared" si="9"/>
        <v>3480</v>
      </c>
    </row>
    <row r="36" spans="1:39" x14ac:dyDescent="0.25">
      <c r="A36" s="28">
        <f t="shared" si="8"/>
        <v>102</v>
      </c>
      <c r="B36" s="29">
        <f t="shared" si="1"/>
        <v>2</v>
      </c>
      <c r="C36" s="30">
        <f t="shared" si="2"/>
        <v>0</v>
      </c>
      <c r="D36" s="30">
        <f t="shared" si="3"/>
        <v>0</v>
      </c>
      <c r="E36" s="30">
        <f t="shared" si="4"/>
        <v>0</v>
      </c>
      <c r="F36" s="31">
        <f t="shared" si="5"/>
        <v>2</v>
      </c>
      <c r="G36" s="40">
        <f t="shared" si="6"/>
        <v>2</v>
      </c>
      <c r="H36" s="41">
        <f t="shared" si="7"/>
        <v>0</v>
      </c>
      <c r="AL36" s="17">
        <f t="shared" si="10"/>
        <v>62</v>
      </c>
      <c r="AM36" s="17">
        <f t="shared" si="9"/>
        <v>3724</v>
      </c>
    </row>
    <row r="37" spans="1:39" x14ac:dyDescent="0.25">
      <c r="A37" s="28">
        <f t="shared" si="8"/>
        <v>103</v>
      </c>
      <c r="B37" s="29">
        <f t="shared" si="1"/>
        <v>3</v>
      </c>
      <c r="C37" s="30">
        <f t="shared" si="2"/>
        <v>0</v>
      </c>
      <c r="D37" s="30">
        <f t="shared" si="3"/>
        <v>0</v>
      </c>
      <c r="E37" s="30">
        <f t="shared" si="4"/>
        <v>0</v>
      </c>
      <c r="F37" s="31">
        <f t="shared" si="5"/>
        <v>3</v>
      </c>
      <c r="G37" s="40">
        <f t="shared" si="6"/>
        <v>3</v>
      </c>
      <c r="H37" s="41">
        <f t="shared" si="7"/>
        <v>0</v>
      </c>
      <c r="AL37" s="17">
        <f t="shared" si="10"/>
        <v>64</v>
      </c>
      <c r="AM37" s="17">
        <f t="shared" si="9"/>
        <v>3976</v>
      </c>
    </row>
    <row r="38" spans="1:39" x14ac:dyDescent="0.25">
      <c r="A38" s="28">
        <f t="shared" si="8"/>
        <v>104</v>
      </c>
      <c r="B38" s="29">
        <f t="shared" si="1"/>
        <v>4</v>
      </c>
      <c r="C38" s="30">
        <f t="shared" si="2"/>
        <v>0</v>
      </c>
      <c r="D38" s="30">
        <f t="shared" si="3"/>
        <v>0</v>
      </c>
      <c r="E38" s="30">
        <f t="shared" si="4"/>
        <v>0</v>
      </c>
      <c r="F38" s="31">
        <f t="shared" si="5"/>
        <v>4</v>
      </c>
      <c r="G38" s="40">
        <f t="shared" si="6"/>
        <v>4</v>
      </c>
      <c r="H38" s="41">
        <f t="shared" si="7"/>
        <v>0</v>
      </c>
      <c r="AL38" s="17">
        <f t="shared" si="10"/>
        <v>66</v>
      </c>
      <c r="AM38" s="17">
        <f t="shared" si="9"/>
        <v>4236</v>
      </c>
    </row>
    <row r="39" spans="1:39" x14ac:dyDescent="0.25">
      <c r="A39" s="28">
        <f t="shared" si="8"/>
        <v>105</v>
      </c>
      <c r="B39" s="29">
        <f t="shared" si="1"/>
        <v>5</v>
      </c>
      <c r="C39" s="30">
        <f t="shared" si="2"/>
        <v>0</v>
      </c>
      <c r="D39" s="30">
        <f t="shared" si="3"/>
        <v>0</v>
      </c>
      <c r="E39" s="30">
        <f t="shared" si="4"/>
        <v>0</v>
      </c>
      <c r="F39" s="31">
        <f t="shared" si="5"/>
        <v>5</v>
      </c>
      <c r="G39" s="40">
        <f t="shared" si="6"/>
        <v>5</v>
      </c>
      <c r="H39" s="41">
        <f t="shared" si="7"/>
        <v>0</v>
      </c>
      <c r="AL39" s="17">
        <f t="shared" si="10"/>
        <v>68</v>
      </c>
      <c r="AM39" s="17">
        <f t="shared" si="9"/>
        <v>4504</v>
      </c>
    </row>
    <row r="40" spans="1:39" x14ac:dyDescent="0.25">
      <c r="A40" s="28">
        <f t="shared" si="8"/>
        <v>106</v>
      </c>
      <c r="B40" s="29">
        <f t="shared" si="1"/>
        <v>6</v>
      </c>
      <c r="C40" s="30">
        <f t="shared" si="2"/>
        <v>0</v>
      </c>
      <c r="D40" s="30">
        <f t="shared" si="3"/>
        <v>0</v>
      </c>
      <c r="E40" s="30">
        <f t="shared" si="4"/>
        <v>0</v>
      </c>
      <c r="F40" s="31">
        <f t="shared" si="5"/>
        <v>6</v>
      </c>
      <c r="G40" s="40">
        <f t="shared" si="6"/>
        <v>6</v>
      </c>
      <c r="H40" s="41">
        <f t="shared" si="7"/>
        <v>0</v>
      </c>
      <c r="AL40" s="17">
        <f t="shared" si="10"/>
        <v>70</v>
      </c>
      <c r="AM40" s="17">
        <f t="shared" si="9"/>
        <v>4780</v>
      </c>
    </row>
    <row r="41" spans="1:39" x14ac:dyDescent="0.25">
      <c r="A41" s="28">
        <f t="shared" si="8"/>
        <v>107</v>
      </c>
      <c r="B41" s="29">
        <f t="shared" si="1"/>
        <v>7</v>
      </c>
      <c r="C41" s="30">
        <f t="shared" si="2"/>
        <v>0</v>
      </c>
      <c r="D41" s="30">
        <f t="shared" si="3"/>
        <v>0</v>
      </c>
      <c r="E41" s="30">
        <f t="shared" si="4"/>
        <v>0</v>
      </c>
      <c r="F41" s="31">
        <f t="shared" si="5"/>
        <v>7</v>
      </c>
      <c r="G41" s="40">
        <f t="shared" si="6"/>
        <v>7</v>
      </c>
      <c r="H41" s="41">
        <f t="shared" si="7"/>
        <v>0</v>
      </c>
      <c r="AL41" s="17">
        <f t="shared" si="10"/>
        <v>72</v>
      </c>
      <c r="AM41" s="17">
        <f t="shared" si="9"/>
        <v>5064</v>
      </c>
    </row>
    <row r="42" spans="1:39" x14ac:dyDescent="0.25">
      <c r="A42" s="28">
        <f t="shared" si="8"/>
        <v>108</v>
      </c>
      <c r="B42" s="29">
        <f t="shared" si="1"/>
        <v>8</v>
      </c>
      <c r="C42" s="30">
        <f t="shared" si="2"/>
        <v>0</v>
      </c>
      <c r="D42" s="30">
        <f t="shared" si="3"/>
        <v>0</v>
      </c>
      <c r="E42" s="30">
        <f t="shared" si="4"/>
        <v>0</v>
      </c>
      <c r="F42" s="31">
        <f t="shared" si="5"/>
        <v>8</v>
      </c>
      <c r="G42" s="40">
        <f t="shared" si="6"/>
        <v>8</v>
      </c>
      <c r="H42" s="41">
        <f t="shared" si="7"/>
        <v>0</v>
      </c>
      <c r="AL42" s="17">
        <f t="shared" si="10"/>
        <v>74</v>
      </c>
      <c r="AM42" s="17">
        <f t="shared" si="9"/>
        <v>5356</v>
      </c>
    </row>
    <row r="43" spans="1:39" x14ac:dyDescent="0.25">
      <c r="A43" s="28">
        <f t="shared" si="8"/>
        <v>109</v>
      </c>
      <c r="B43" s="29">
        <f t="shared" si="1"/>
        <v>9</v>
      </c>
      <c r="C43" s="30">
        <f t="shared" si="2"/>
        <v>0</v>
      </c>
      <c r="D43" s="30">
        <f t="shared" si="3"/>
        <v>0</v>
      </c>
      <c r="E43" s="30">
        <f t="shared" si="4"/>
        <v>0</v>
      </c>
      <c r="F43" s="31">
        <f t="shared" si="5"/>
        <v>9</v>
      </c>
      <c r="G43" s="40">
        <f t="shared" si="6"/>
        <v>9</v>
      </c>
      <c r="H43" s="41">
        <f t="shared" si="7"/>
        <v>0</v>
      </c>
      <c r="AL43" s="17">
        <f t="shared" si="10"/>
        <v>76</v>
      </c>
      <c r="AM43" s="17">
        <f t="shared" si="9"/>
        <v>5656</v>
      </c>
    </row>
    <row r="44" spans="1:39" x14ac:dyDescent="0.25">
      <c r="A44" s="28">
        <f t="shared" si="8"/>
        <v>110</v>
      </c>
      <c r="B44" s="29">
        <f t="shared" si="1"/>
        <v>10</v>
      </c>
      <c r="C44" s="30">
        <f t="shared" si="2"/>
        <v>0</v>
      </c>
      <c r="D44" s="30">
        <f t="shared" si="3"/>
        <v>0</v>
      </c>
      <c r="E44" s="30">
        <f t="shared" si="4"/>
        <v>0</v>
      </c>
      <c r="F44" s="31">
        <f t="shared" si="5"/>
        <v>10</v>
      </c>
      <c r="G44" s="40">
        <f t="shared" si="6"/>
        <v>10</v>
      </c>
      <c r="H44" s="41">
        <f t="shared" si="7"/>
        <v>0</v>
      </c>
      <c r="AL44" s="17">
        <f t="shared" si="10"/>
        <v>78</v>
      </c>
      <c r="AM44" s="17">
        <f t="shared" si="9"/>
        <v>5964</v>
      </c>
    </row>
    <row r="45" spans="1:39" x14ac:dyDescent="0.25">
      <c r="A45" s="28">
        <f t="shared" si="8"/>
        <v>111</v>
      </c>
      <c r="B45" s="29">
        <f t="shared" si="1"/>
        <v>11</v>
      </c>
      <c r="C45" s="30">
        <f t="shared" si="2"/>
        <v>0</v>
      </c>
      <c r="D45" s="30">
        <f t="shared" si="3"/>
        <v>0</v>
      </c>
      <c r="E45" s="30">
        <f t="shared" si="4"/>
        <v>0</v>
      </c>
      <c r="F45" s="31">
        <f t="shared" si="5"/>
        <v>11</v>
      </c>
      <c r="G45" s="40">
        <f t="shared" si="6"/>
        <v>11</v>
      </c>
      <c r="H45" s="41">
        <f t="shared" si="7"/>
        <v>0</v>
      </c>
      <c r="AL45" s="17">
        <f t="shared" si="10"/>
        <v>80</v>
      </c>
      <c r="AM45" s="17">
        <f t="shared" si="9"/>
        <v>6280</v>
      </c>
    </row>
    <row r="46" spans="1:39" x14ac:dyDescent="0.25">
      <c r="A46" s="28">
        <f t="shared" si="8"/>
        <v>112</v>
      </c>
      <c r="B46" s="29">
        <f t="shared" si="1"/>
        <v>12</v>
      </c>
      <c r="C46" s="30">
        <f t="shared" si="2"/>
        <v>0</v>
      </c>
      <c r="D46" s="30">
        <f t="shared" si="3"/>
        <v>0</v>
      </c>
      <c r="E46" s="30">
        <f t="shared" si="4"/>
        <v>0</v>
      </c>
      <c r="F46" s="31">
        <f t="shared" si="5"/>
        <v>12</v>
      </c>
      <c r="G46" s="40">
        <f t="shared" si="6"/>
        <v>12</v>
      </c>
      <c r="H46" s="41">
        <f t="shared" si="7"/>
        <v>0</v>
      </c>
      <c r="AL46" s="17">
        <f t="shared" si="10"/>
        <v>82</v>
      </c>
      <c r="AM46" s="17">
        <f t="shared" si="9"/>
        <v>6604</v>
      </c>
    </row>
    <row r="47" spans="1:39" x14ac:dyDescent="0.25">
      <c r="A47" s="28">
        <f t="shared" si="8"/>
        <v>113</v>
      </c>
      <c r="B47" s="29">
        <f t="shared" si="1"/>
        <v>13</v>
      </c>
      <c r="C47" s="30">
        <f t="shared" si="2"/>
        <v>0</v>
      </c>
      <c r="D47" s="30">
        <f t="shared" si="3"/>
        <v>0</v>
      </c>
      <c r="E47" s="30">
        <f t="shared" si="4"/>
        <v>0</v>
      </c>
      <c r="F47" s="31">
        <f t="shared" si="5"/>
        <v>13</v>
      </c>
      <c r="G47" s="40">
        <f t="shared" si="6"/>
        <v>13</v>
      </c>
      <c r="H47" s="41">
        <f t="shared" si="7"/>
        <v>0</v>
      </c>
      <c r="AL47" s="17">
        <f t="shared" si="10"/>
        <v>84</v>
      </c>
      <c r="AM47" s="17">
        <f t="shared" si="9"/>
        <v>6936</v>
      </c>
    </row>
    <row r="48" spans="1:39" x14ac:dyDescent="0.25">
      <c r="A48" s="28">
        <f t="shared" si="8"/>
        <v>114</v>
      </c>
      <c r="B48" s="29">
        <f t="shared" si="1"/>
        <v>14</v>
      </c>
      <c r="C48" s="30">
        <f t="shared" si="2"/>
        <v>0</v>
      </c>
      <c r="D48" s="30">
        <f t="shared" si="3"/>
        <v>0</v>
      </c>
      <c r="E48" s="30">
        <f t="shared" si="4"/>
        <v>0</v>
      </c>
      <c r="F48" s="31">
        <f t="shared" si="5"/>
        <v>14</v>
      </c>
      <c r="G48" s="40">
        <f t="shared" si="6"/>
        <v>14</v>
      </c>
      <c r="H48" s="41">
        <f t="shared" si="7"/>
        <v>0</v>
      </c>
      <c r="AL48" s="17">
        <f t="shared" si="10"/>
        <v>86</v>
      </c>
      <c r="AM48" s="17">
        <f t="shared" si="9"/>
        <v>7276</v>
      </c>
    </row>
    <row r="49" spans="1:39" x14ac:dyDescent="0.25">
      <c r="A49" s="28">
        <f t="shared" si="8"/>
        <v>115</v>
      </c>
      <c r="B49" s="29">
        <f t="shared" si="1"/>
        <v>15</v>
      </c>
      <c r="C49" s="30">
        <f t="shared" si="2"/>
        <v>0</v>
      </c>
      <c r="D49" s="30">
        <f t="shared" si="3"/>
        <v>0</v>
      </c>
      <c r="E49" s="30">
        <f t="shared" si="4"/>
        <v>0</v>
      </c>
      <c r="F49" s="31">
        <f t="shared" si="5"/>
        <v>15</v>
      </c>
      <c r="G49" s="40">
        <f t="shared" si="6"/>
        <v>15</v>
      </c>
      <c r="H49" s="41">
        <f t="shared" si="7"/>
        <v>0</v>
      </c>
      <c r="AL49" s="17">
        <f t="shared" si="10"/>
        <v>88</v>
      </c>
      <c r="AM49" s="17">
        <f t="shared" si="9"/>
        <v>7624</v>
      </c>
    </row>
    <row r="50" spans="1:39" x14ac:dyDescent="0.25">
      <c r="A50" s="28">
        <f t="shared" si="8"/>
        <v>116</v>
      </c>
      <c r="B50" s="29">
        <f t="shared" si="1"/>
        <v>16</v>
      </c>
      <c r="C50" s="30">
        <f t="shared" si="2"/>
        <v>0</v>
      </c>
      <c r="D50" s="30">
        <f t="shared" si="3"/>
        <v>0</v>
      </c>
      <c r="E50" s="30">
        <f t="shared" si="4"/>
        <v>0</v>
      </c>
      <c r="F50" s="31">
        <f t="shared" si="5"/>
        <v>16</v>
      </c>
      <c r="G50" s="40">
        <f t="shared" si="6"/>
        <v>16</v>
      </c>
      <c r="H50" s="41">
        <f t="shared" si="7"/>
        <v>0</v>
      </c>
      <c r="AL50" s="17">
        <f t="shared" si="10"/>
        <v>90</v>
      </c>
      <c r="AM50" s="17">
        <f t="shared" si="9"/>
        <v>7980</v>
      </c>
    </row>
    <row r="51" spans="1:39" x14ac:dyDescent="0.25">
      <c r="A51" s="28">
        <f t="shared" si="8"/>
        <v>117</v>
      </c>
      <c r="B51" s="29">
        <f t="shared" si="1"/>
        <v>17</v>
      </c>
      <c r="C51" s="30">
        <f t="shared" si="2"/>
        <v>0</v>
      </c>
      <c r="D51" s="30">
        <f t="shared" si="3"/>
        <v>0</v>
      </c>
      <c r="E51" s="30">
        <f t="shared" si="4"/>
        <v>0</v>
      </c>
      <c r="F51" s="31">
        <f t="shared" si="5"/>
        <v>17</v>
      </c>
      <c r="G51" s="40">
        <f t="shared" si="6"/>
        <v>17</v>
      </c>
      <c r="H51" s="41">
        <f t="shared" si="7"/>
        <v>0</v>
      </c>
      <c r="AL51" s="17">
        <f t="shared" si="10"/>
        <v>92</v>
      </c>
      <c r="AM51" s="17">
        <f t="shared" si="9"/>
        <v>8344</v>
      </c>
    </row>
    <row r="52" spans="1:39" x14ac:dyDescent="0.25">
      <c r="A52" s="28">
        <f t="shared" si="8"/>
        <v>118</v>
      </c>
      <c r="B52" s="29">
        <f t="shared" si="1"/>
        <v>18</v>
      </c>
      <c r="C52" s="30">
        <f t="shared" si="2"/>
        <v>0</v>
      </c>
      <c r="D52" s="30">
        <f t="shared" si="3"/>
        <v>0</v>
      </c>
      <c r="E52" s="30">
        <f t="shared" si="4"/>
        <v>0</v>
      </c>
      <c r="F52" s="31">
        <f t="shared" si="5"/>
        <v>18</v>
      </c>
      <c r="G52" s="40">
        <f t="shared" si="6"/>
        <v>18</v>
      </c>
      <c r="H52" s="41">
        <f t="shared" si="7"/>
        <v>0</v>
      </c>
      <c r="AL52" s="17">
        <f t="shared" si="10"/>
        <v>94</v>
      </c>
      <c r="AM52" s="17">
        <f t="shared" si="9"/>
        <v>8716</v>
      </c>
    </row>
    <row r="53" spans="1:39" x14ac:dyDescent="0.25">
      <c r="A53" s="28">
        <f t="shared" si="8"/>
        <v>119</v>
      </c>
      <c r="B53" s="29">
        <f t="shared" si="1"/>
        <v>19</v>
      </c>
      <c r="C53" s="30">
        <f t="shared" si="2"/>
        <v>0</v>
      </c>
      <c r="D53" s="30">
        <f t="shared" si="3"/>
        <v>0</v>
      </c>
      <c r="E53" s="30">
        <f t="shared" si="4"/>
        <v>0</v>
      </c>
      <c r="F53" s="31">
        <f t="shared" si="5"/>
        <v>19</v>
      </c>
      <c r="G53" s="40">
        <f t="shared" si="6"/>
        <v>19</v>
      </c>
      <c r="H53" s="41">
        <f t="shared" si="7"/>
        <v>0</v>
      </c>
      <c r="AL53" s="17">
        <f t="shared" si="10"/>
        <v>96</v>
      </c>
      <c r="AM53" s="17">
        <f t="shared" si="9"/>
        <v>9096</v>
      </c>
    </row>
    <row r="54" spans="1:39" x14ac:dyDescent="0.25">
      <c r="A54" s="28">
        <f t="shared" si="8"/>
        <v>120</v>
      </c>
      <c r="B54" s="29">
        <f t="shared" si="1"/>
        <v>20</v>
      </c>
      <c r="C54" s="30">
        <f t="shared" si="2"/>
        <v>0</v>
      </c>
      <c r="D54" s="30">
        <f t="shared" si="3"/>
        <v>0</v>
      </c>
      <c r="E54" s="30">
        <f t="shared" si="4"/>
        <v>0</v>
      </c>
      <c r="F54" s="31">
        <f t="shared" si="5"/>
        <v>20</v>
      </c>
      <c r="G54" s="40">
        <f t="shared" si="6"/>
        <v>20</v>
      </c>
      <c r="H54" s="41">
        <f t="shared" si="7"/>
        <v>0</v>
      </c>
      <c r="AL54" s="17">
        <f t="shared" si="10"/>
        <v>98</v>
      </c>
      <c r="AM54" s="17">
        <f t="shared" si="9"/>
        <v>9484</v>
      </c>
    </row>
    <row r="55" spans="1:39" x14ac:dyDescent="0.25">
      <c r="A55" s="28">
        <f t="shared" si="8"/>
        <v>121</v>
      </c>
      <c r="B55" s="29">
        <f t="shared" si="1"/>
        <v>21</v>
      </c>
      <c r="C55" s="30">
        <f t="shared" si="2"/>
        <v>-1</v>
      </c>
      <c r="D55" s="30">
        <f t="shared" si="3"/>
        <v>-200000</v>
      </c>
      <c r="E55" s="30">
        <f t="shared" si="4"/>
        <v>199979.99999999933</v>
      </c>
      <c r="F55" s="31">
        <f t="shared" si="5"/>
        <v>-6.6938810050487518E-10</v>
      </c>
      <c r="G55" s="40">
        <f t="shared" si="6"/>
        <v>0</v>
      </c>
      <c r="H55" s="41">
        <f t="shared" si="7"/>
        <v>-6.6938810050487518E-10</v>
      </c>
      <c r="AL55" s="17">
        <f t="shared" si="10"/>
        <v>100</v>
      </c>
      <c r="AM55" s="17">
        <f t="shared" si="9"/>
        <v>9880</v>
      </c>
    </row>
    <row r="56" spans="1:39" x14ac:dyDescent="0.25">
      <c r="A56" s="28">
        <f t="shared" si="8"/>
        <v>122</v>
      </c>
      <c r="B56" s="29">
        <f t="shared" si="1"/>
        <v>22</v>
      </c>
      <c r="C56" s="30">
        <f t="shared" si="2"/>
        <v>-2</v>
      </c>
      <c r="D56" s="30">
        <f t="shared" si="3"/>
        <v>-400000</v>
      </c>
      <c r="E56" s="30">
        <f t="shared" si="4"/>
        <v>399979.99999999936</v>
      </c>
      <c r="F56" s="31">
        <f t="shared" si="5"/>
        <v>-6.4028427004814148E-10</v>
      </c>
      <c r="G56" s="40">
        <f t="shared" si="6"/>
        <v>0</v>
      </c>
      <c r="H56" s="41">
        <f t="shared" si="7"/>
        <v>-6.4028427004814148E-10</v>
      </c>
      <c r="AL56" s="17">
        <f t="shared" si="10"/>
        <v>102</v>
      </c>
      <c r="AM56" s="17">
        <f t="shared" si="9"/>
        <v>10284</v>
      </c>
    </row>
    <row r="57" spans="1:39" x14ac:dyDescent="0.25">
      <c r="A57" s="28">
        <f t="shared" si="8"/>
        <v>123</v>
      </c>
      <c r="B57" s="29">
        <f t="shared" si="1"/>
        <v>23</v>
      </c>
      <c r="C57" s="30">
        <f t="shared" si="2"/>
        <v>-3</v>
      </c>
      <c r="D57" s="30">
        <f t="shared" si="3"/>
        <v>-600000</v>
      </c>
      <c r="E57" s="30">
        <f t="shared" si="4"/>
        <v>599979.9999999993</v>
      </c>
      <c r="F57" s="31">
        <f t="shared" si="5"/>
        <v>0</v>
      </c>
      <c r="G57" s="40">
        <f t="shared" si="6"/>
        <v>0</v>
      </c>
      <c r="H57" s="41">
        <f t="shared" si="7"/>
        <v>0</v>
      </c>
      <c r="AL57" s="17">
        <f t="shared" si="10"/>
        <v>104</v>
      </c>
      <c r="AM57" s="17">
        <f t="shared" si="9"/>
        <v>10696</v>
      </c>
    </row>
    <row r="58" spans="1:39" x14ac:dyDescent="0.25">
      <c r="A58" s="28">
        <f t="shared" si="8"/>
        <v>124</v>
      </c>
      <c r="B58" s="29">
        <f t="shared" si="1"/>
        <v>24</v>
      </c>
      <c r="C58" s="30">
        <f t="shared" si="2"/>
        <v>-4</v>
      </c>
      <c r="D58" s="30">
        <f t="shared" si="3"/>
        <v>-800000</v>
      </c>
      <c r="E58" s="30">
        <f t="shared" si="4"/>
        <v>799979.9999999993</v>
      </c>
      <c r="F58" s="31">
        <f t="shared" si="5"/>
        <v>0</v>
      </c>
      <c r="G58" s="40">
        <f t="shared" si="6"/>
        <v>0</v>
      </c>
      <c r="H58" s="41">
        <f t="shared" si="7"/>
        <v>0</v>
      </c>
      <c r="AL58" s="17">
        <f t="shared" si="10"/>
        <v>106</v>
      </c>
      <c r="AM58" s="17">
        <f t="shared" si="9"/>
        <v>11116</v>
      </c>
    </row>
    <row r="59" spans="1:39" x14ac:dyDescent="0.25">
      <c r="A59" s="28">
        <f t="shared" si="8"/>
        <v>125</v>
      </c>
      <c r="B59" s="29">
        <f t="shared" si="1"/>
        <v>25</v>
      </c>
      <c r="C59" s="30">
        <f t="shared" si="2"/>
        <v>-5</v>
      </c>
      <c r="D59" s="30">
        <f t="shared" si="3"/>
        <v>-1000000</v>
      </c>
      <c r="E59" s="30">
        <f t="shared" si="4"/>
        <v>999979.9999999993</v>
      </c>
      <c r="F59" s="31">
        <f t="shared" si="5"/>
        <v>0</v>
      </c>
      <c r="G59" s="40">
        <f t="shared" si="6"/>
        <v>0</v>
      </c>
      <c r="H59" s="41">
        <f t="shared" si="7"/>
        <v>0</v>
      </c>
      <c r="AL59" s="17">
        <f t="shared" si="10"/>
        <v>108</v>
      </c>
      <c r="AM59" s="17">
        <f t="shared" si="9"/>
        <v>11544</v>
      </c>
    </row>
    <row r="60" spans="1:39" x14ac:dyDescent="0.25">
      <c r="A60" s="28">
        <f t="shared" si="8"/>
        <v>126</v>
      </c>
      <c r="B60" s="29">
        <f t="shared" si="1"/>
        <v>26</v>
      </c>
      <c r="C60" s="30">
        <f t="shared" si="2"/>
        <v>-6</v>
      </c>
      <c r="D60" s="30">
        <f t="shared" si="3"/>
        <v>-1200000</v>
      </c>
      <c r="E60" s="30">
        <f t="shared" si="4"/>
        <v>1199979.9999999993</v>
      </c>
      <c r="F60" s="31">
        <f t="shared" si="5"/>
        <v>0</v>
      </c>
      <c r="G60" s="40">
        <f t="shared" si="6"/>
        <v>0</v>
      </c>
      <c r="H60" s="41">
        <f t="shared" si="7"/>
        <v>0</v>
      </c>
      <c r="AL60" s="17">
        <f t="shared" si="10"/>
        <v>110</v>
      </c>
      <c r="AM60" s="17">
        <f t="shared" si="9"/>
        <v>11980</v>
      </c>
    </row>
    <row r="61" spans="1:39" x14ac:dyDescent="0.25">
      <c r="A61" s="28">
        <f t="shared" si="8"/>
        <v>127</v>
      </c>
      <c r="B61" s="29">
        <f t="shared" si="1"/>
        <v>27</v>
      </c>
      <c r="C61" s="30">
        <f t="shared" si="2"/>
        <v>-7</v>
      </c>
      <c r="D61" s="30">
        <f t="shared" si="3"/>
        <v>-1400000</v>
      </c>
      <c r="E61" s="30">
        <f t="shared" si="4"/>
        <v>1399979.9999999993</v>
      </c>
      <c r="F61" s="31">
        <f t="shared" si="5"/>
        <v>0</v>
      </c>
      <c r="G61" s="40">
        <f t="shared" si="6"/>
        <v>0</v>
      </c>
      <c r="H61" s="41">
        <f t="shared" si="7"/>
        <v>0</v>
      </c>
      <c r="AL61" s="17">
        <f t="shared" si="10"/>
        <v>112</v>
      </c>
      <c r="AM61" s="17">
        <f t="shared" si="9"/>
        <v>12424</v>
      </c>
    </row>
    <row r="62" spans="1:39" x14ac:dyDescent="0.25">
      <c r="A62" s="28">
        <f t="shared" si="8"/>
        <v>128</v>
      </c>
      <c r="B62" s="29">
        <f t="shared" si="1"/>
        <v>28</v>
      </c>
      <c r="C62" s="30">
        <f t="shared" si="2"/>
        <v>-8</v>
      </c>
      <c r="D62" s="30">
        <f t="shared" si="3"/>
        <v>-1600000</v>
      </c>
      <c r="E62" s="30">
        <f t="shared" si="4"/>
        <v>1599979.9999999993</v>
      </c>
      <c r="F62" s="31">
        <f t="shared" si="5"/>
        <v>0</v>
      </c>
      <c r="G62" s="40">
        <f t="shared" si="6"/>
        <v>0</v>
      </c>
      <c r="H62" s="41">
        <f t="shared" si="7"/>
        <v>0</v>
      </c>
      <c r="AL62" s="17">
        <f t="shared" si="10"/>
        <v>114</v>
      </c>
      <c r="AM62" s="17">
        <f t="shared" si="9"/>
        <v>12876</v>
      </c>
    </row>
    <row r="63" spans="1:39" x14ac:dyDescent="0.25">
      <c r="A63" s="28">
        <f t="shared" si="8"/>
        <v>129</v>
      </c>
      <c r="B63" s="29">
        <f t="shared" si="1"/>
        <v>29</v>
      </c>
      <c r="C63" s="30">
        <f t="shared" si="2"/>
        <v>-9</v>
      </c>
      <c r="D63" s="30">
        <f t="shared" si="3"/>
        <v>-1800000</v>
      </c>
      <c r="E63" s="30">
        <f t="shared" si="4"/>
        <v>1799979.9999999993</v>
      </c>
      <c r="F63" s="31">
        <f t="shared" si="5"/>
        <v>0</v>
      </c>
      <c r="G63" s="40">
        <f t="shared" si="6"/>
        <v>0</v>
      </c>
      <c r="H63" s="41">
        <f t="shared" si="7"/>
        <v>0</v>
      </c>
      <c r="AL63" s="17">
        <f t="shared" si="10"/>
        <v>116</v>
      </c>
      <c r="AM63" s="17">
        <f t="shared" si="9"/>
        <v>13336</v>
      </c>
    </row>
    <row r="64" spans="1:39" x14ac:dyDescent="0.25">
      <c r="A64" s="28">
        <f t="shared" si="8"/>
        <v>130</v>
      </c>
      <c r="B64" s="29">
        <f t="shared" si="1"/>
        <v>30</v>
      </c>
      <c r="C64" s="30">
        <f t="shared" si="2"/>
        <v>-10</v>
      </c>
      <c r="D64" s="30">
        <f t="shared" si="3"/>
        <v>-2000000</v>
      </c>
      <c r="E64" s="30">
        <f t="shared" si="4"/>
        <v>1999979.9999999993</v>
      </c>
      <c r="F64" s="31">
        <f t="shared" si="5"/>
        <v>0</v>
      </c>
      <c r="G64" s="40">
        <f t="shared" si="6"/>
        <v>0</v>
      </c>
      <c r="H64" s="41">
        <f t="shared" si="7"/>
        <v>0</v>
      </c>
      <c r="AL64" s="17">
        <f t="shared" si="10"/>
        <v>118</v>
      </c>
      <c r="AM64" s="17">
        <f t="shared" si="9"/>
        <v>13804</v>
      </c>
    </row>
    <row r="65" spans="1:39" x14ac:dyDescent="0.25">
      <c r="A65" s="28">
        <f t="shared" si="8"/>
        <v>131</v>
      </c>
      <c r="B65" s="29">
        <f t="shared" si="1"/>
        <v>31</v>
      </c>
      <c r="C65" s="30">
        <f t="shared" si="2"/>
        <v>-11</v>
      </c>
      <c r="D65" s="30">
        <f t="shared" si="3"/>
        <v>-2200000</v>
      </c>
      <c r="E65" s="30">
        <f t="shared" si="4"/>
        <v>2199979.9999999995</v>
      </c>
      <c r="F65" s="31">
        <f t="shared" si="5"/>
        <v>0</v>
      </c>
      <c r="G65" s="40">
        <f t="shared" si="6"/>
        <v>0</v>
      </c>
      <c r="H65" s="41">
        <f t="shared" si="7"/>
        <v>0</v>
      </c>
      <c r="AL65" s="17">
        <f t="shared" si="10"/>
        <v>120</v>
      </c>
      <c r="AM65" s="17">
        <f t="shared" si="9"/>
        <v>14280</v>
      </c>
    </row>
    <row r="66" spans="1:39" x14ac:dyDescent="0.25">
      <c r="A66" s="28">
        <f t="shared" si="8"/>
        <v>132</v>
      </c>
      <c r="B66" s="29">
        <f t="shared" si="1"/>
        <v>32</v>
      </c>
      <c r="C66" s="30">
        <f t="shared" si="2"/>
        <v>-12</v>
      </c>
      <c r="D66" s="30">
        <f t="shared" si="3"/>
        <v>-2400000</v>
      </c>
      <c r="E66" s="30">
        <f t="shared" si="4"/>
        <v>2399979.9999999995</v>
      </c>
      <c r="F66" s="31">
        <f t="shared" si="5"/>
        <v>0</v>
      </c>
      <c r="G66" s="40">
        <f t="shared" si="6"/>
        <v>0</v>
      </c>
      <c r="H66" s="41">
        <f t="shared" si="7"/>
        <v>0</v>
      </c>
      <c r="AL66" s="17">
        <f t="shared" si="10"/>
        <v>122</v>
      </c>
      <c r="AM66" s="17">
        <f t="shared" si="9"/>
        <v>14764</v>
      </c>
    </row>
    <row r="67" spans="1:39" x14ac:dyDescent="0.25">
      <c r="A67" s="28">
        <f t="shared" si="8"/>
        <v>133</v>
      </c>
      <c r="B67" s="29">
        <f t="shared" si="1"/>
        <v>33</v>
      </c>
      <c r="C67" s="30">
        <f t="shared" si="2"/>
        <v>-13</v>
      </c>
      <c r="D67" s="30">
        <f t="shared" si="3"/>
        <v>-2600000</v>
      </c>
      <c r="E67" s="30">
        <f t="shared" si="4"/>
        <v>2599979.9999999995</v>
      </c>
      <c r="F67" s="31">
        <f t="shared" si="5"/>
        <v>0</v>
      </c>
      <c r="G67" s="40">
        <f t="shared" si="6"/>
        <v>0</v>
      </c>
      <c r="H67" s="41">
        <f t="shared" si="7"/>
        <v>0</v>
      </c>
      <c r="AL67" s="17">
        <f t="shared" si="10"/>
        <v>124</v>
      </c>
      <c r="AM67" s="17">
        <f t="shared" si="9"/>
        <v>15256</v>
      </c>
    </row>
    <row r="68" spans="1:39" x14ac:dyDescent="0.25">
      <c r="A68" s="28">
        <f t="shared" si="8"/>
        <v>134</v>
      </c>
      <c r="B68" s="29">
        <f t="shared" si="1"/>
        <v>34</v>
      </c>
      <c r="C68" s="30">
        <f t="shared" si="2"/>
        <v>-14</v>
      </c>
      <c r="D68" s="30">
        <f t="shared" si="3"/>
        <v>-2800000</v>
      </c>
      <c r="E68" s="30">
        <f t="shared" si="4"/>
        <v>2799979.9999999995</v>
      </c>
      <c r="F68" s="31">
        <f t="shared" si="5"/>
        <v>0</v>
      </c>
      <c r="G68" s="40">
        <f t="shared" si="6"/>
        <v>0</v>
      </c>
      <c r="H68" s="41">
        <f t="shared" si="7"/>
        <v>0</v>
      </c>
      <c r="AL68" s="17">
        <f t="shared" si="10"/>
        <v>126</v>
      </c>
      <c r="AM68" s="17">
        <f t="shared" si="9"/>
        <v>15756</v>
      </c>
    </row>
    <row r="69" spans="1:39" x14ac:dyDescent="0.25">
      <c r="A69" s="28">
        <f t="shared" si="8"/>
        <v>135</v>
      </c>
      <c r="B69" s="29">
        <f t="shared" ref="B69:B104" si="11">(MAX(IF($B$1="C",1,-1)*(A69-$K$5),0)-IF($K$10="Y",$K$13*EXP($K$6*$K$9),0))*$K$4</f>
        <v>35</v>
      </c>
      <c r="C69" s="30">
        <f t="shared" ref="C69:C104" si="12">(MAX(IF($C$1="C",1,-1)*(A69-$L$5),0)-IF($K$10="Y",$L$13*EXP($K$6*$K$9),0))*$L$4</f>
        <v>-15</v>
      </c>
      <c r="D69" s="30">
        <f t="shared" ref="D69:D104" si="13">(MAX(IF($D$1="C",1,-1)*(A69-$M$5),0)-IF($K$10="Y",$M$13*EXP($K$6*$K$9),0))*$M$4</f>
        <v>-3000000</v>
      </c>
      <c r="E69" s="30">
        <f t="shared" ref="E69:E104" si="14">(MAX(IF($E$1="C",1,-1)*(A69-$N$5),0)-IF($K$10="Y",$N$13*EXP($K$6*$K$9),0))*$N$4</f>
        <v>2999979.9999999995</v>
      </c>
      <c r="F69" s="31">
        <f t="shared" ref="F69:F104" si="15">SUM(B69:E69)</f>
        <v>0</v>
      </c>
      <c r="G69" s="40">
        <f t="shared" ref="G69:G104" si="16">IF(A69&lt;=$K$18,0,IF(A69&gt;$K$19,0,A69-$K$18))</f>
        <v>0</v>
      </c>
      <c r="H69" s="41">
        <f t="shared" ref="H69:H104" si="17">F69-G69</f>
        <v>0</v>
      </c>
      <c r="AL69" s="17">
        <f t="shared" si="10"/>
        <v>128</v>
      </c>
      <c r="AM69" s="17">
        <f t="shared" si="9"/>
        <v>16264</v>
      </c>
    </row>
    <row r="70" spans="1:39" x14ac:dyDescent="0.25">
      <c r="A70" s="28">
        <f t="shared" ref="A70:A104" si="18">A69+1</f>
        <v>136</v>
      </c>
      <c r="B70" s="29">
        <f t="shared" si="11"/>
        <v>36</v>
      </c>
      <c r="C70" s="30">
        <f t="shared" si="12"/>
        <v>-16</v>
      </c>
      <c r="D70" s="30">
        <f t="shared" si="13"/>
        <v>-3200000</v>
      </c>
      <c r="E70" s="30">
        <f t="shared" si="14"/>
        <v>3199979.9999999995</v>
      </c>
      <c r="F70" s="31">
        <f t="shared" si="15"/>
        <v>0</v>
      </c>
      <c r="G70" s="40">
        <f t="shared" si="16"/>
        <v>0</v>
      </c>
      <c r="H70" s="41">
        <f t="shared" si="17"/>
        <v>0</v>
      </c>
      <c r="AL70" s="17">
        <f t="shared" si="10"/>
        <v>130</v>
      </c>
      <c r="AM70" s="17">
        <f t="shared" ref="AM70:AM128" si="19">MAX(0,(AL70^2)-120)</f>
        <v>16780</v>
      </c>
    </row>
    <row r="71" spans="1:39" x14ac:dyDescent="0.25">
      <c r="A71" s="28">
        <f t="shared" si="18"/>
        <v>137</v>
      </c>
      <c r="B71" s="29">
        <f t="shared" si="11"/>
        <v>37</v>
      </c>
      <c r="C71" s="30">
        <f t="shared" si="12"/>
        <v>-17</v>
      </c>
      <c r="D71" s="30">
        <f t="shared" si="13"/>
        <v>-3400000</v>
      </c>
      <c r="E71" s="30">
        <f t="shared" si="14"/>
        <v>3399979.9999999995</v>
      </c>
      <c r="F71" s="31">
        <f t="shared" si="15"/>
        <v>0</v>
      </c>
      <c r="G71" s="40">
        <f t="shared" si="16"/>
        <v>0</v>
      </c>
      <c r="H71" s="41">
        <f t="shared" si="17"/>
        <v>0</v>
      </c>
      <c r="AL71" s="17">
        <f t="shared" ref="AL71:AL128" si="20">AL70+2</f>
        <v>132</v>
      </c>
      <c r="AM71" s="17">
        <f t="shared" si="19"/>
        <v>17304</v>
      </c>
    </row>
    <row r="72" spans="1:39" x14ac:dyDescent="0.25">
      <c r="A72" s="28">
        <f t="shared" si="18"/>
        <v>138</v>
      </c>
      <c r="B72" s="29">
        <f t="shared" si="11"/>
        <v>38</v>
      </c>
      <c r="C72" s="30">
        <f t="shared" si="12"/>
        <v>-18</v>
      </c>
      <c r="D72" s="30">
        <f t="shared" si="13"/>
        <v>-3600000</v>
      </c>
      <c r="E72" s="30">
        <f t="shared" si="14"/>
        <v>3599979.9999999995</v>
      </c>
      <c r="F72" s="31">
        <f t="shared" si="15"/>
        <v>0</v>
      </c>
      <c r="G72" s="40">
        <f t="shared" si="16"/>
        <v>0</v>
      </c>
      <c r="H72" s="41">
        <f t="shared" si="17"/>
        <v>0</v>
      </c>
      <c r="AL72" s="17">
        <f t="shared" si="20"/>
        <v>134</v>
      </c>
      <c r="AM72" s="17">
        <f t="shared" si="19"/>
        <v>17836</v>
      </c>
    </row>
    <row r="73" spans="1:39" x14ac:dyDescent="0.25">
      <c r="A73" s="28">
        <f t="shared" si="18"/>
        <v>139</v>
      </c>
      <c r="B73" s="29">
        <f t="shared" si="11"/>
        <v>39</v>
      </c>
      <c r="C73" s="30">
        <f t="shared" si="12"/>
        <v>-19</v>
      </c>
      <c r="D73" s="30">
        <f t="shared" si="13"/>
        <v>-3800000</v>
      </c>
      <c r="E73" s="30">
        <f t="shared" si="14"/>
        <v>3799979.9999999995</v>
      </c>
      <c r="F73" s="31">
        <f t="shared" si="15"/>
        <v>0</v>
      </c>
      <c r="G73" s="40">
        <f t="shared" si="16"/>
        <v>0</v>
      </c>
      <c r="H73" s="41">
        <f t="shared" si="17"/>
        <v>0</v>
      </c>
      <c r="AL73" s="17">
        <f t="shared" si="20"/>
        <v>136</v>
      </c>
      <c r="AM73" s="17">
        <f t="shared" si="19"/>
        <v>18376</v>
      </c>
    </row>
    <row r="74" spans="1:39" x14ac:dyDescent="0.25">
      <c r="A74" s="28">
        <f t="shared" si="18"/>
        <v>140</v>
      </c>
      <c r="B74" s="29">
        <f t="shared" si="11"/>
        <v>40</v>
      </c>
      <c r="C74" s="30">
        <f t="shared" si="12"/>
        <v>-20</v>
      </c>
      <c r="D74" s="30">
        <f t="shared" si="13"/>
        <v>-4000000</v>
      </c>
      <c r="E74" s="30">
        <f t="shared" si="14"/>
        <v>3999979.9999999995</v>
      </c>
      <c r="F74" s="31">
        <f t="shared" si="15"/>
        <v>0</v>
      </c>
      <c r="G74" s="40">
        <f t="shared" si="16"/>
        <v>0</v>
      </c>
      <c r="H74" s="41">
        <f t="shared" si="17"/>
        <v>0</v>
      </c>
      <c r="AL74" s="17">
        <f t="shared" si="20"/>
        <v>138</v>
      </c>
      <c r="AM74" s="17">
        <f t="shared" si="19"/>
        <v>18924</v>
      </c>
    </row>
    <row r="75" spans="1:39" x14ac:dyDescent="0.25">
      <c r="A75" s="28">
        <f t="shared" si="18"/>
        <v>141</v>
      </c>
      <c r="B75" s="29">
        <f t="shared" si="11"/>
        <v>41</v>
      </c>
      <c r="C75" s="30">
        <f t="shared" si="12"/>
        <v>-21</v>
      </c>
      <c r="D75" s="30">
        <f t="shared" si="13"/>
        <v>-4200000</v>
      </c>
      <c r="E75" s="30">
        <f t="shared" si="14"/>
        <v>4199979.9999999991</v>
      </c>
      <c r="F75" s="31">
        <f t="shared" si="15"/>
        <v>0</v>
      </c>
      <c r="G75" s="40">
        <f t="shared" si="16"/>
        <v>0</v>
      </c>
      <c r="H75" s="41">
        <f t="shared" si="17"/>
        <v>0</v>
      </c>
      <c r="AL75" s="17">
        <f t="shared" si="20"/>
        <v>140</v>
      </c>
      <c r="AM75" s="17">
        <f t="shared" si="19"/>
        <v>19480</v>
      </c>
    </row>
    <row r="76" spans="1:39" x14ac:dyDescent="0.25">
      <c r="A76" s="28">
        <f t="shared" si="18"/>
        <v>142</v>
      </c>
      <c r="B76" s="29">
        <f t="shared" si="11"/>
        <v>42</v>
      </c>
      <c r="C76" s="30">
        <f t="shared" si="12"/>
        <v>-22</v>
      </c>
      <c r="D76" s="30">
        <f t="shared" si="13"/>
        <v>-4400000</v>
      </c>
      <c r="E76" s="30">
        <f t="shared" si="14"/>
        <v>4399979.9999999991</v>
      </c>
      <c r="F76" s="31">
        <f t="shared" si="15"/>
        <v>0</v>
      </c>
      <c r="G76" s="40">
        <f t="shared" si="16"/>
        <v>0</v>
      </c>
      <c r="H76" s="41">
        <f t="shared" si="17"/>
        <v>0</v>
      </c>
      <c r="AL76" s="17">
        <f t="shared" si="20"/>
        <v>142</v>
      </c>
      <c r="AM76" s="17">
        <f t="shared" si="19"/>
        <v>20044</v>
      </c>
    </row>
    <row r="77" spans="1:39" x14ac:dyDescent="0.25">
      <c r="A77" s="28">
        <f t="shared" si="18"/>
        <v>143</v>
      </c>
      <c r="B77" s="29">
        <f t="shared" si="11"/>
        <v>43</v>
      </c>
      <c r="C77" s="30">
        <f t="shared" si="12"/>
        <v>-23</v>
      </c>
      <c r="D77" s="30">
        <f t="shared" si="13"/>
        <v>-4600000</v>
      </c>
      <c r="E77" s="30">
        <f t="shared" si="14"/>
        <v>4599979.9999999991</v>
      </c>
      <c r="F77" s="31">
        <f t="shared" si="15"/>
        <v>0</v>
      </c>
      <c r="G77" s="40">
        <f t="shared" si="16"/>
        <v>0</v>
      </c>
      <c r="H77" s="41">
        <f t="shared" si="17"/>
        <v>0</v>
      </c>
      <c r="AL77" s="17">
        <f t="shared" si="20"/>
        <v>144</v>
      </c>
      <c r="AM77" s="17">
        <f t="shared" si="19"/>
        <v>20616</v>
      </c>
    </row>
    <row r="78" spans="1:39" x14ac:dyDescent="0.25">
      <c r="A78" s="28">
        <f t="shared" si="18"/>
        <v>144</v>
      </c>
      <c r="B78" s="29">
        <f t="shared" si="11"/>
        <v>44</v>
      </c>
      <c r="C78" s="30">
        <f t="shared" si="12"/>
        <v>-24</v>
      </c>
      <c r="D78" s="30">
        <f t="shared" si="13"/>
        <v>-4800000</v>
      </c>
      <c r="E78" s="30">
        <f t="shared" si="14"/>
        <v>4799979.9999999991</v>
      </c>
      <c r="F78" s="31">
        <f t="shared" si="15"/>
        <v>0</v>
      </c>
      <c r="G78" s="40">
        <f t="shared" si="16"/>
        <v>0</v>
      </c>
      <c r="H78" s="41">
        <f t="shared" si="17"/>
        <v>0</v>
      </c>
      <c r="AL78" s="17">
        <f t="shared" si="20"/>
        <v>146</v>
      </c>
      <c r="AM78" s="17">
        <f t="shared" si="19"/>
        <v>21196</v>
      </c>
    </row>
    <row r="79" spans="1:39" x14ac:dyDescent="0.25">
      <c r="A79" s="28">
        <f t="shared" si="18"/>
        <v>145</v>
      </c>
      <c r="B79" s="29">
        <f t="shared" si="11"/>
        <v>45</v>
      </c>
      <c r="C79" s="30">
        <f t="shared" si="12"/>
        <v>-25</v>
      </c>
      <c r="D79" s="30">
        <f t="shared" si="13"/>
        <v>-5000000</v>
      </c>
      <c r="E79" s="30">
        <f t="shared" si="14"/>
        <v>4999979.9999999991</v>
      </c>
      <c r="F79" s="31">
        <f t="shared" si="15"/>
        <v>0</v>
      </c>
      <c r="G79" s="40">
        <f t="shared" si="16"/>
        <v>0</v>
      </c>
      <c r="H79" s="41">
        <f t="shared" si="17"/>
        <v>0</v>
      </c>
      <c r="AL79" s="17">
        <f t="shared" si="20"/>
        <v>148</v>
      </c>
      <c r="AM79" s="17">
        <f t="shared" si="19"/>
        <v>21784</v>
      </c>
    </row>
    <row r="80" spans="1:39" x14ac:dyDescent="0.25">
      <c r="A80" s="28">
        <f t="shared" si="18"/>
        <v>146</v>
      </c>
      <c r="B80" s="29">
        <f t="shared" si="11"/>
        <v>46</v>
      </c>
      <c r="C80" s="30">
        <f t="shared" si="12"/>
        <v>-26</v>
      </c>
      <c r="D80" s="30">
        <f t="shared" si="13"/>
        <v>-5200000</v>
      </c>
      <c r="E80" s="30">
        <f t="shared" si="14"/>
        <v>5199979.9999999991</v>
      </c>
      <c r="F80" s="31">
        <f t="shared" si="15"/>
        <v>0</v>
      </c>
      <c r="G80" s="40">
        <f t="shared" si="16"/>
        <v>0</v>
      </c>
      <c r="H80" s="41">
        <f t="shared" si="17"/>
        <v>0</v>
      </c>
      <c r="AL80" s="17">
        <f t="shared" si="20"/>
        <v>150</v>
      </c>
      <c r="AM80" s="17">
        <f t="shared" si="19"/>
        <v>22380</v>
      </c>
    </row>
    <row r="81" spans="1:39" x14ac:dyDescent="0.25">
      <c r="A81" s="28">
        <f t="shared" si="18"/>
        <v>147</v>
      </c>
      <c r="B81" s="29">
        <f t="shared" si="11"/>
        <v>47</v>
      </c>
      <c r="C81" s="30">
        <f t="shared" si="12"/>
        <v>-27</v>
      </c>
      <c r="D81" s="30">
        <f t="shared" si="13"/>
        <v>-5400000</v>
      </c>
      <c r="E81" s="30">
        <f t="shared" si="14"/>
        <v>5399979.9999999991</v>
      </c>
      <c r="F81" s="31">
        <f t="shared" si="15"/>
        <v>0</v>
      </c>
      <c r="G81" s="40">
        <f t="shared" si="16"/>
        <v>0</v>
      </c>
      <c r="H81" s="41">
        <f t="shared" si="17"/>
        <v>0</v>
      </c>
      <c r="AL81" s="17">
        <f t="shared" si="20"/>
        <v>152</v>
      </c>
      <c r="AM81" s="17">
        <f t="shared" si="19"/>
        <v>22984</v>
      </c>
    </row>
    <row r="82" spans="1:39" x14ac:dyDescent="0.25">
      <c r="A82" s="28">
        <f t="shared" si="18"/>
        <v>148</v>
      </c>
      <c r="B82" s="29">
        <f t="shared" si="11"/>
        <v>48</v>
      </c>
      <c r="C82" s="30">
        <f t="shared" si="12"/>
        <v>-28</v>
      </c>
      <c r="D82" s="30">
        <f t="shared" si="13"/>
        <v>-5600000</v>
      </c>
      <c r="E82" s="30">
        <f t="shared" si="14"/>
        <v>5599979.9999999991</v>
      </c>
      <c r="F82" s="31">
        <f t="shared" si="15"/>
        <v>0</v>
      </c>
      <c r="G82" s="40">
        <f t="shared" si="16"/>
        <v>0</v>
      </c>
      <c r="H82" s="41">
        <f t="shared" si="17"/>
        <v>0</v>
      </c>
      <c r="AL82" s="17">
        <f t="shared" si="20"/>
        <v>154</v>
      </c>
      <c r="AM82" s="17">
        <f t="shared" si="19"/>
        <v>23596</v>
      </c>
    </row>
    <row r="83" spans="1:39" x14ac:dyDescent="0.25">
      <c r="A83" s="28">
        <f t="shared" si="18"/>
        <v>149</v>
      </c>
      <c r="B83" s="29">
        <f t="shared" si="11"/>
        <v>49</v>
      </c>
      <c r="C83" s="30">
        <f t="shared" si="12"/>
        <v>-29</v>
      </c>
      <c r="D83" s="30">
        <f t="shared" si="13"/>
        <v>-5800000</v>
      </c>
      <c r="E83" s="30">
        <f t="shared" si="14"/>
        <v>5799979.9999999991</v>
      </c>
      <c r="F83" s="31">
        <f t="shared" si="15"/>
        <v>0</v>
      </c>
      <c r="G83" s="40">
        <f t="shared" si="16"/>
        <v>0</v>
      </c>
      <c r="H83" s="41">
        <f t="shared" si="17"/>
        <v>0</v>
      </c>
      <c r="AL83" s="17">
        <f t="shared" si="20"/>
        <v>156</v>
      </c>
      <c r="AM83" s="17">
        <f t="shared" si="19"/>
        <v>24216</v>
      </c>
    </row>
    <row r="84" spans="1:39" x14ac:dyDescent="0.25">
      <c r="A84" s="28">
        <f t="shared" si="18"/>
        <v>150</v>
      </c>
      <c r="B84" s="29">
        <f t="shared" si="11"/>
        <v>50</v>
      </c>
      <c r="C84" s="30">
        <f t="shared" si="12"/>
        <v>-30</v>
      </c>
      <c r="D84" s="30">
        <f t="shared" si="13"/>
        <v>-6000000</v>
      </c>
      <c r="E84" s="30">
        <f t="shared" si="14"/>
        <v>5999979.9999999991</v>
      </c>
      <c r="F84" s="31">
        <f t="shared" si="15"/>
        <v>0</v>
      </c>
      <c r="G84" s="40">
        <f t="shared" si="16"/>
        <v>0</v>
      </c>
      <c r="H84" s="41">
        <f t="shared" si="17"/>
        <v>0</v>
      </c>
      <c r="AL84" s="17">
        <f t="shared" si="20"/>
        <v>158</v>
      </c>
      <c r="AM84" s="17">
        <f t="shared" si="19"/>
        <v>24844</v>
      </c>
    </row>
    <row r="85" spans="1:39" x14ac:dyDescent="0.25">
      <c r="A85" s="28">
        <f t="shared" si="18"/>
        <v>151</v>
      </c>
      <c r="B85" s="29">
        <f t="shared" si="11"/>
        <v>51</v>
      </c>
      <c r="C85" s="30">
        <f t="shared" si="12"/>
        <v>-31</v>
      </c>
      <c r="D85" s="30">
        <f t="shared" si="13"/>
        <v>-6200000</v>
      </c>
      <c r="E85" s="30">
        <f t="shared" si="14"/>
        <v>6199979.9999999991</v>
      </c>
      <c r="F85" s="31">
        <f t="shared" si="15"/>
        <v>0</v>
      </c>
      <c r="G85" s="40">
        <f t="shared" si="16"/>
        <v>0</v>
      </c>
      <c r="H85" s="41">
        <f t="shared" si="17"/>
        <v>0</v>
      </c>
      <c r="AL85" s="17">
        <f t="shared" si="20"/>
        <v>160</v>
      </c>
      <c r="AM85" s="17">
        <f t="shared" si="19"/>
        <v>25480</v>
      </c>
    </row>
    <row r="86" spans="1:39" x14ac:dyDescent="0.25">
      <c r="A86" s="28">
        <f t="shared" si="18"/>
        <v>152</v>
      </c>
      <c r="B86" s="29">
        <f t="shared" si="11"/>
        <v>52</v>
      </c>
      <c r="C86" s="30">
        <f t="shared" si="12"/>
        <v>-32</v>
      </c>
      <c r="D86" s="30">
        <f t="shared" si="13"/>
        <v>-6400000</v>
      </c>
      <c r="E86" s="30">
        <f t="shared" si="14"/>
        <v>6399979.9999999991</v>
      </c>
      <c r="F86" s="31">
        <f t="shared" si="15"/>
        <v>0</v>
      </c>
      <c r="G86" s="40">
        <f t="shared" si="16"/>
        <v>0</v>
      </c>
      <c r="H86" s="41">
        <f t="shared" si="17"/>
        <v>0</v>
      </c>
      <c r="AL86" s="17">
        <f t="shared" si="20"/>
        <v>162</v>
      </c>
      <c r="AM86" s="17">
        <f t="shared" si="19"/>
        <v>26124</v>
      </c>
    </row>
    <row r="87" spans="1:39" x14ac:dyDescent="0.25">
      <c r="A87" s="28">
        <f t="shared" si="18"/>
        <v>153</v>
      </c>
      <c r="B87" s="29">
        <f t="shared" si="11"/>
        <v>53</v>
      </c>
      <c r="C87" s="30">
        <f t="shared" si="12"/>
        <v>-33</v>
      </c>
      <c r="D87" s="30">
        <f t="shared" si="13"/>
        <v>-6600000</v>
      </c>
      <c r="E87" s="30">
        <f t="shared" si="14"/>
        <v>6599979.9999999991</v>
      </c>
      <c r="F87" s="31">
        <f t="shared" si="15"/>
        <v>0</v>
      </c>
      <c r="G87" s="40">
        <f t="shared" si="16"/>
        <v>0</v>
      </c>
      <c r="H87" s="41">
        <f t="shared" si="17"/>
        <v>0</v>
      </c>
      <c r="AL87" s="17">
        <f t="shared" si="20"/>
        <v>164</v>
      </c>
      <c r="AM87" s="17">
        <f t="shared" si="19"/>
        <v>26776</v>
      </c>
    </row>
    <row r="88" spans="1:39" x14ac:dyDescent="0.25">
      <c r="A88" s="28">
        <f t="shared" si="18"/>
        <v>154</v>
      </c>
      <c r="B88" s="29">
        <f t="shared" si="11"/>
        <v>54</v>
      </c>
      <c r="C88" s="30">
        <f t="shared" si="12"/>
        <v>-34</v>
      </c>
      <c r="D88" s="30">
        <f t="shared" si="13"/>
        <v>-6800000</v>
      </c>
      <c r="E88" s="30">
        <f t="shared" si="14"/>
        <v>6799979.9999999991</v>
      </c>
      <c r="F88" s="31">
        <f t="shared" si="15"/>
        <v>0</v>
      </c>
      <c r="G88" s="40">
        <f t="shared" si="16"/>
        <v>0</v>
      </c>
      <c r="H88" s="41">
        <f t="shared" si="17"/>
        <v>0</v>
      </c>
      <c r="AL88" s="17">
        <f t="shared" si="20"/>
        <v>166</v>
      </c>
      <c r="AM88" s="17">
        <f t="shared" si="19"/>
        <v>27436</v>
      </c>
    </row>
    <row r="89" spans="1:39" x14ac:dyDescent="0.25">
      <c r="A89" s="28">
        <f t="shared" si="18"/>
        <v>155</v>
      </c>
      <c r="B89" s="29">
        <f t="shared" si="11"/>
        <v>55</v>
      </c>
      <c r="C89" s="30">
        <f t="shared" si="12"/>
        <v>-35</v>
      </c>
      <c r="D89" s="30">
        <f t="shared" si="13"/>
        <v>-7000000</v>
      </c>
      <c r="E89" s="30">
        <f t="shared" si="14"/>
        <v>6999979.9999999991</v>
      </c>
      <c r="F89" s="31">
        <f t="shared" si="15"/>
        <v>0</v>
      </c>
      <c r="G89" s="40">
        <f t="shared" si="16"/>
        <v>0</v>
      </c>
      <c r="H89" s="41">
        <f t="shared" si="17"/>
        <v>0</v>
      </c>
      <c r="AL89" s="17">
        <f t="shared" si="20"/>
        <v>168</v>
      </c>
      <c r="AM89" s="17">
        <f t="shared" si="19"/>
        <v>28104</v>
      </c>
    </row>
    <row r="90" spans="1:39" x14ac:dyDescent="0.25">
      <c r="A90" s="28">
        <f t="shared" si="18"/>
        <v>156</v>
      </c>
      <c r="B90" s="29">
        <f t="shared" si="11"/>
        <v>56</v>
      </c>
      <c r="C90" s="30">
        <f t="shared" si="12"/>
        <v>-36</v>
      </c>
      <c r="D90" s="30">
        <f t="shared" si="13"/>
        <v>-7200000</v>
      </c>
      <c r="E90" s="30">
        <f t="shared" si="14"/>
        <v>7199979.9999999991</v>
      </c>
      <c r="F90" s="31">
        <f t="shared" si="15"/>
        <v>0</v>
      </c>
      <c r="G90" s="40">
        <f t="shared" si="16"/>
        <v>0</v>
      </c>
      <c r="H90" s="41">
        <f t="shared" si="17"/>
        <v>0</v>
      </c>
      <c r="AL90" s="17">
        <f t="shared" si="20"/>
        <v>170</v>
      </c>
      <c r="AM90" s="17">
        <f t="shared" si="19"/>
        <v>28780</v>
      </c>
    </row>
    <row r="91" spans="1:39" x14ac:dyDescent="0.25">
      <c r="A91" s="28">
        <f t="shared" si="18"/>
        <v>157</v>
      </c>
      <c r="B91" s="29">
        <f t="shared" si="11"/>
        <v>57</v>
      </c>
      <c r="C91" s="30">
        <f t="shared" si="12"/>
        <v>-37</v>
      </c>
      <c r="D91" s="30">
        <f t="shared" si="13"/>
        <v>-7400000</v>
      </c>
      <c r="E91" s="30">
        <f t="shared" si="14"/>
        <v>7399979.9999999991</v>
      </c>
      <c r="F91" s="31">
        <f t="shared" si="15"/>
        <v>0</v>
      </c>
      <c r="G91" s="40">
        <f t="shared" si="16"/>
        <v>0</v>
      </c>
      <c r="H91" s="41">
        <f t="shared" si="17"/>
        <v>0</v>
      </c>
      <c r="AL91" s="17">
        <f t="shared" si="20"/>
        <v>172</v>
      </c>
      <c r="AM91" s="17">
        <f t="shared" si="19"/>
        <v>29464</v>
      </c>
    </row>
    <row r="92" spans="1:39" x14ac:dyDescent="0.25">
      <c r="A92" s="28">
        <f t="shared" si="18"/>
        <v>158</v>
      </c>
      <c r="B92" s="29">
        <f t="shared" si="11"/>
        <v>58</v>
      </c>
      <c r="C92" s="30">
        <f t="shared" si="12"/>
        <v>-38</v>
      </c>
      <c r="D92" s="30">
        <f t="shared" si="13"/>
        <v>-7600000</v>
      </c>
      <c r="E92" s="30">
        <f t="shared" si="14"/>
        <v>7599979.9999999991</v>
      </c>
      <c r="F92" s="31">
        <f t="shared" si="15"/>
        <v>0</v>
      </c>
      <c r="G92" s="40">
        <f t="shared" si="16"/>
        <v>0</v>
      </c>
      <c r="H92" s="41">
        <f t="shared" si="17"/>
        <v>0</v>
      </c>
      <c r="AL92" s="17">
        <f t="shared" si="20"/>
        <v>174</v>
      </c>
      <c r="AM92" s="17">
        <f t="shared" si="19"/>
        <v>30156</v>
      </c>
    </row>
    <row r="93" spans="1:39" x14ac:dyDescent="0.25">
      <c r="A93" s="28">
        <f t="shared" si="18"/>
        <v>159</v>
      </c>
      <c r="B93" s="29">
        <f t="shared" si="11"/>
        <v>59</v>
      </c>
      <c r="C93" s="30">
        <f t="shared" si="12"/>
        <v>-39</v>
      </c>
      <c r="D93" s="30">
        <f t="shared" si="13"/>
        <v>-7800000</v>
      </c>
      <c r="E93" s="30">
        <f t="shared" si="14"/>
        <v>7799979.9999999991</v>
      </c>
      <c r="F93" s="31">
        <f t="shared" si="15"/>
        <v>0</v>
      </c>
      <c r="G93" s="40">
        <f t="shared" si="16"/>
        <v>0</v>
      </c>
      <c r="H93" s="41">
        <f t="shared" si="17"/>
        <v>0</v>
      </c>
      <c r="AL93" s="17">
        <f t="shared" si="20"/>
        <v>176</v>
      </c>
      <c r="AM93" s="17">
        <f t="shared" si="19"/>
        <v>30856</v>
      </c>
    </row>
    <row r="94" spans="1:39" x14ac:dyDescent="0.25">
      <c r="A94" s="28">
        <f t="shared" si="18"/>
        <v>160</v>
      </c>
      <c r="B94" s="29">
        <f t="shared" si="11"/>
        <v>60</v>
      </c>
      <c r="C94" s="30">
        <f t="shared" si="12"/>
        <v>-40</v>
      </c>
      <c r="D94" s="30">
        <f t="shared" si="13"/>
        <v>-8000000</v>
      </c>
      <c r="E94" s="30">
        <f t="shared" si="14"/>
        <v>7999979.9999999991</v>
      </c>
      <c r="F94" s="31">
        <f t="shared" si="15"/>
        <v>0</v>
      </c>
      <c r="G94" s="40">
        <f t="shared" si="16"/>
        <v>0</v>
      </c>
      <c r="H94" s="41">
        <f t="shared" si="17"/>
        <v>0</v>
      </c>
      <c r="AL94" s="17">
        <f t="shared" si="20"/>
        <v>178</v>
      </c>
      <c r="AM94" s="17">
        <f t="shared" si="19"/>
        <v>31564</v>
      </c>
    </row>
    <row r="95" spans="1:39" x14ac:dyDescent="0.25">
      <c r="A95" s="28">
        <f t="shared" si="18"/>
        <v>161</v>
      </c>
      <c r="B95" s="29">
        <f t="shared" si="11"/>
        <v>61</v>
      </c>
      <c r="C95" s="30">
        <f t="shared" si="12"/>
        <v>-41</v>
      </c>
      <c r="D95" s="30">
        <f t="shared" si="13"/>
        <v>-8200000</v>
      </c>
      <c r="E95" s="30">
        <f t="shared" si="14"/>
        <v>8199979.9999999991</v>
      </c>
      <c r="F95" s="31">
        <f t="shared" si="15"/>
        <v>0</v>
      </c>
      <c r="G95" s="40">
        <f t="shared" si="16"/>
        <v>0</v>
      </c>
      <c r="H95" s="41">
        <f t="shared" si="17"/>
        <v>0</v>
      </c>
      <c r="AL95" s="17">
        <f t="shared" si="20"/>
        <v>180</v>
      </c>
      <c r="AM95" s="17">
        <f t="shared" si="19"/>
        <v>32280</v>
      </c>
    </row>
    <row r="96" spans="1:39" x14ac:dyDescent="0.25">
      <c r="A96" s="28">
        <f t="shared" si="18"/>
        <v>162</v>
      </c>
      <c r="B96" s="29">
        <f t="shared" si="11"/>
        <v>62</v>
      </c>
      <c r="C96" s="30">
        <f t="shared" si="12"/>
        <v>-42</v>
      </c>
      <c r="D96" s="30">
        <f t="shared" si="13"/>
        <v>-8400000</v>
      </c>
      <c r="E96" s="30">
        <f t="shared" si="14"/>
        <v>8399980</v>
      </c>
      <c r="F96" s="31">
        <f t="shared" si="15"/>
        <v>0</v>
      </c>
      <c r="G96" s="40">
        <f t="shared" si="16"/>
        <v>0</v>
      </c>
      <c r="H96" s="41">
        <f t="shared" si="17"/>
        <v>0</v>
      </c>
      <c r="AL96" s="17">
        <f t="shared" si="20"/>
        <v>182</v>
      </c>
      <c r="AM96" s="17">
        <f t="shared" si="19"/>
        <v>33004</v>
      </c>
    </row>
    <row r="97" spans="1:39" x14ac:dyDescent="0.25">
      <c r="A97" s="28">
        <f t="shared" si="18"/>
        <v>163</v>
      </c>
      <c r="B97" s="29">
        <f t="shared" si="11"/>
        <v>63</v>
      </c>
      <c r="C97" s="30">
        <f t="shared" si="12"/>
        <v>-43</v>
      </c>
      <c r="D97" s="30">
        <f t="shared" si="13"/>
        <v>-8600000</v>
      </c>
      <c r="E97" s="30">
        <f t="shared" si="14"/>
        <v>8599980</v>
      </c>
      <c r="F97" s="31">
        <f t="shared" si="15"/>
        <v>0</v>
      </c>
      <c r="G97" s="40">
        <f t="shared" si="16"/>
        <v>0</v>
      </c>
      <c r="H97" s="41">
        <f t="shared" si="17"/>
        <v>0</v>
      </c>
      <c r="AL97" s="17">
        <f t="shared" si="20"/>
        <v>184</v>
      </c>
      <c r="AM97" s="17">
        <f t="shared" si="19"/>
        <v>33736</v>
      </c>
    </row>
    <row r="98" spans="1:39" x14ac:dyDescent="0.25">
      <c r="A98" s="28">
        <f t="shared" si="18"/>
        <v>164</v>
      </c>
      <c r="B98" s="29">
        <f t="shared" si="11"/>
        <v>64</v>
      </c>
      <c r="C98" s="30">
        <f t="shared" si="12"/>
        <v>-44</v>
      </c>
      <c r="D98" s="30">
        <f t="shared" si="13"/>
        <v>-8800000</v>
      </c>
      <c r="E98" s="30">
        <f t="shared" si="14"/>
        <v>8799980</v>
      </c>
      <c r="F98" s="31">
        <f t="shared" si="15"/>
        <v>0</v>
      </c>
      <c r="G98" s="40">
        <f t="shared" si="16"/>
        <v>0</v>
      </c>
      <c r="H98" s="41">
        <f t="shared" si="17"/>
        <v>0</v>
      </c>
      <c r="AL98" s="17">
        <f t="shared" si="20"/>
        <v>186</v>
      </c>
      <c r="AM98" s="17">
        <f t="shared" si="19"/>
        <v>34476</v>
      </c>
    </row>
    <row r="99" spans="1:39" x14ac:dyDescent="0.25">
      <c r="A99" s="28">
        <f t="shared" si="18"/>
        <v>165</v>
      </c>
      <c r="B99" s="29">
        <f t="shared" si="11"/>
        <v>65</v>
      </c>
      <c r="C99" s="30">
        <f t="shared" si="12"/>
        <v>-45</v>
      </c>
      <c r="D99" s="30">
        <f t="shared" si="13"/>
        <v>-9000000</v>
      </c>
      <c r="E99" s="30">
        <f t="shared" si="14"/>
        <v>8999980</v>
      </c>
      <c r="F99" s="31">
        <f t="shared" si="15"/>
        <v>0</v>
      </c>
      <c r="G99" s="40">
        <f t="shared" si="16"/>
        <v>0</v>
      </c>
      <c r="H99" s="41">
        <f t="shared" si="17"/>
        <v>0</v>
      </c>
      <c r="AL99" s="17">
        <f t="shared" si="20"/>
        <v>188</v>
      </c>
      <c r="AM99" s="17">
        <f t="shared" si="19"/>
        <v>35224</v>
      </c>
    </row>
    <row r="100" spans="1:39" x14ac:dyDescent="0.25">
      <c r="A100" s="28">
        <f t="shared" si="18"/>
        <v>166</v>
      </c>
      <c r="B100" s="29">
        <f t="shared" si="11"/>
        <v>66</v>
      </c>
      <c r="C100" s="30">
        <f t="shared" si="12"/>
        <v>-46</v>
      </c>
      <c r="D100" s="30">
        <f t="shared" si="13"/>
        <v>-9200000</v>
      </c>
      <c r="E100" s="30">
        <f t="shared" si="14"/>
        <v>9199980</v>
      </c>
      <c r="F100" s="31">
        <f t="shared" si="15"/>
        <v>0</v>
      </c>
      <c r="G100" s="40">
        <f t="shared" si="16"/>
        <v>0</v>
      </c>
      <c r="H100" s="41">
        <f t="shared" si="17"/>
        <v>0</v>
      </c>
      <c r="AL100" s="17">
        <f t="shared" si="20"/>
        <v>190</v>
      </c>
      <c r="AM100" s="17">
        <f t="shared" si="19"/>
        <v>35980</v>
      </c>
    </row>
    <row r="101" spans="1:39" x14ac:dyDescent="0.25">
      <c r="A101" s="28">
        <f t="shared" si="18"/>
        <v>167</v>
      </c>
      <c r="B101" s="29">
        <f t="shared" si="11"/>
        <v>67</v>
      </c>
      <c r="C101" s="30">
        <f t="shared" si="12"/>
        <v>-47</v>
      </c>
      <c r="D101" s="30">
        <f t="shared" si="13"/>
        <v>-9400000</v>
      </c>
      <c r="E101" s="30">
        <f t="shared" si="14"/>
        <v>9399980</v>
      </c>
      <c r="F101" s="31">
        <f t="shared" si="15"/>
        <v>0</v>
      </c>
      <c r="G101" s="40">
        <f t="shared" si="16"/>
        <v>0</v>
      </c>
      <c r="H101" s="41">
        <f t="shared" si="17"/>
        <v>0</v>
      </c>
      <c r="AL101" s="17">
        <f t="shared" si="20"/>
        <v>192</v>
      </c>
      <c r="AM101" s="17">
        <f t="shared" si="19"/>
        <v>36744</v>
      </c>
    </row>
    <row r="102" spans="1:39" x14ac:dyDescent="0.25">
      <c r="A102" s="28">
        <f t="shared" si="18"/>
        <v>168</v>
      </c>
      <c r="B102" s="29">
        <f t="shared" si="11"/>
        <v>68</v>
      </c>
      <c r="C102" s="30">
        <f t="shared" si="12"/>
        <v>-48</v>
      </c>
      <c r="D102" s="30">
        <f t="shared" si="13"/>
        <v>-9600000</v>
      </c>
      <c r="E102" s="30">
        <f t="shared" si="14"/>
        <v>9599980</v>
      </c>
      <c r="F102" s="31">
        <f t="shared" si="15"/>
        <v>0</v>
      </c>
      <c r="G102" s="40">
        <f t="shared" si="16"/>
        <v>0</v>
      </c>
      <c r="H102" s="41">
        <f t="shared" si="17"/>
        <v>0</v>
      </c>
      <c r="AL102" s="17">
        <f t="shared" si="20"/>
        <v>194</v>
      </c>
      <c r="AM102" s="17">
        <f t="shared" si="19"/>
        <v>37516</v>
      </c>
    </row>
    <row r="103" spans="1:39" x14ac:dyDescent="0.25">
      <c r="A103" s="28">
        <f t="shared" si="18"/>
        <v>169</v>
      </c>
      <c r="B103" s="29">
        <f t="shared" si="11"/>
        <v>69</v>
      </c>
      <c r="C103" s="30">
        <f t="shared" si="12"/>
        <v>-49</v>
      </c>
      <c r="D103" s="30">
        <f t="shared" si="13"/>
        <v>-9800000</v>
      </c>
      <c r="E103" s="30">
        <f t="shared" si="14"/>
        <v>9799980</v>
      </c>
      <c r="F103" s="31">
        <f t="shared" si="15"/>
        <v>0</v>
      </c>
      <c r="G103" s="40">
        <f t="shared" si="16"/>
        <v>0</v>
      </c>
      <c r="H103" s="41">
        <f t="shared" si="17"/>
        <v>0</v>
      </c>
      <c r="AL103" s="17">
        <f t="shared" si="20"/>
        <v>196</v>
      </c>
      <c r="AM103" s="17">
        <f t="shared" si="19"/>
        <v>38296</v>
      </c>
    </row>
    <row r="104" spans="1:39" x14ac:dyDescent="0.25">
      <c r="A104" s="28">
        <f t="shared" si="18"/>
        <v>170</v>
      </c>
      <c r="B104" s="38">
        <f t="shared" si="11"/>
        <v>70</v>
      </c>
      <c r="C104" s="32">
        <f t="shared" si="12"/>
        <v>-50</v>
      </c>
      <c r="D104" s="32">
        <f t="shared" si="13"/>
        <v>-10000000</v>
      </c>
      <c r="E104" s="32">
        <f t="shared" si="14"/>
        <v>9999980</v>
      </c>
      <c r="F104" s="39">
        <f t="shared" si="15"/>
        <v>0</v>
      </c>
      <c r="G104" s="40">
        <f t="shared" si="16"/>
        <v>0</v>
      </c>
      <c r="H104" s="41">
        <f t="shared" si="17"/>
        <v>0</v>
      </c>
      <c r="AL104" s="17">
        <f t="shared" si="20"/>
        <v>198</v>
      </c>
      <c r="AM104" s="17">
        <f t="shared" si="19"/>
        <v>39084</v>
      </c>
    </row>
    <row r="105" spans="1:39" x14ac:dyDescent="0.25">
      <c r="A105" s="28"/>
      <c r="AL105" s="17">
        <f t="shared" si="20"/>
        <v>200</v>
      </c>
      <c r="AM105" s="17">
        <f t="shared" si="19"/>
        <v>39880</v>
      </c>
    </row>
    <row r="106" spans="1:39" x14ac:dyDescent="0.25">
      <c r="A106" s="28"/>
      <c r="AL106" s="17">
        <f t="shared" si="20"/>
        <v>202</v>
      </c>
      <c r="AM106" s="17">
        <f t="shared" si="19"/>
        <v>40684</v>
      </c>
    </row>
    <row r="107" spans="1:39" x14ac:dyDescent="0.25">
      <c r="A107" s="28"/>
      <c r="AL107" s="17">
        <f t="shared" si="20"/>
        <v>204</v>
      </c>
      <c r="AM107" s="17">
        <f t="shared" si="19"/>
        <v>41496</v>
      </c>
    </row>
    <row r="108" spans="1:39" x14ac:dyDescent="0.25">
      <c r="A108" s="28"/>
      <c r="AL108" s="17">
        <f t="shared" si="20"/>
        <v>206</v>
      </c>
      <c r="AM108" s="17">
        <f t="shared" si="19"/>
        <v>42316</v>
      </c>
    </row>
    <row r="109" spans="1:39" x14ac:dyDescent="0.25">
      <c r="A109" s="28"/>
      <c r="AL109" s="17">
        <f t="shared" si="20"/>
        <v>208</v>
      </c>
      <c r="AM109" s="17">
        <f t="shared" si="19"/>
        <v>43144</v>
      </c>
    </row>
    <row r="110" spans="1:39" x14ac:dyDescent="0.25">
      <c r="A110" s="28"/>
      <c r="AL110" s="17">
        <f t="shared" si="20"/>
        <v>210</v>
      </c>
      <c r="AM110" s="17">
        <f t="shared" si="19"/>
        <v>43980</v>
      </c>
    </row>
    <row r="111" spans="1:39" x14ac:dyDescent="0.25">
      <c r="A111" s="28"/>
      <c r="AL111" s="17">
        <f t="shared" si="20"/>
        <v>212</v>
      </c>
      <c r="AM111" s="17">
        <f t="shared" si="19"/>
        <v>44824</v>
      </c>
    </row>
    <row r="112" spans="1:39" x14ac:dyDescent="0.25">
      <c r="A112" s="28"/>
      <c r="AL112" s="17">
        <f t="shared" si="20"/>
        <v>214</v>
      </c>
      <c r="AM112" s="17">
        <f t="shared" si="19"/>
        <v>45676</v>
      </c>
    </row>
    <row r="113" spans="1:39" x14ac:dyDescent="0.25">
      <c r="A113" s="28"/>
      <c r="AL113" s="17">
        <f t="shared" si="20"/>
        <v>216</v>
      </c>
      <c r="AM113" s="17">
        <f t="shared" si="19"/>
        <v>46536</v>
      </c>
    </row>
    <row r="114" spans="1:39" x14ac:dyDescent="0.25">
      <c r="A114" s="28"/>
      <c r="AL114" s="17">
        <f t="shared" si="20"/>
        <v>218</v>
      </c>
      <c r="AM114" s="17">
        <f t="shared" si="19"/>
        <v>47404</v>
      </c>
    </row>
    <row r="115" spans="1:39" x14ac:dyDescent="0.25">
      <c r="A115" s="28"/>
      <c r="AL115" s="17">
        <f t="shared" si="20"/>
        <v>220</v>
      </c>
      <c r="AM115" s="17">
        <f t="shared" si="19"/>
        <v>48280</v>
      </c>
    </row>
    <row r="116" spans="1:39" x14ac:dyDescent="0.25">
      <c r="A116" s="28"/>
      <c r="AL116" s="17">
        <f t="shared" si="20"/>
        <v>222</v>
      </c>
      <c r="AM116" s="17">
        <f t="shared" si="19"/>
        <v>49164</v>
      </c>
    </row>
    <row r="117" spans="1:39" x14ac:dyDescent="0.25">
      <c r="A117" s="28"/>
      <c r="AL117" s="17">
        <f t="shared" si="20"/>
        <v>224</v>
      </c>
      <c r="AM117" s="17">
        <f t="shared" si="19"/>
        <v>50056</v>
      </c>
    </row>
    <row r="118" spans="1:39" x14ac:dyDescent="0.25">
      <c r="A118" s="28"/>
      <c r="AL118" s="17">
        <f t="shared" si="20"/>
        <v>226</v>
      </c>
      <c r="AM118" s="17">
        <f t="shared" si="19"/>
        <v>50956</v>
      </c>
    </row>
    <row r="119" spans="1:39" x14ac:dyDescent="0.25">
      <c r="A119" s="28"/>
      <c r="AL119" s="17">
        <f t="shared" si="20"/>
        <v>228</v>
      </c>
      <c r="AM119" s="17">
        <f t="shared" si="19"/>
        <v>51864</v>
      </c>
    </row>
    <row r="120" spans="1:39" x14ac:dyDescent="0.25">
      <c r="A120" s="28"/>
      <c r="AL120" s="17">
        <f t="shared" si="20"/>
        <v>230</v>
      </c>
      <c r="AM120" s="17">
        <f t="shared" si="19"/>
        <v>52780</v>
      </c>
    </row>
    <row r="121" spans="1:39" x14ac:dyDescent="0.25">
      <c r="A121" s="28"/>
      <c r="AL121" s="17">
        <f t="shared" si="20"/>
        <v>232</v>
      </c>
      <c r="AM121" s="17">
        <f t="shared" si="19"/>
        <v>53704</v>
      </c>
    </row>
    <row r="122" spans="1:39" x14ac:dyDescent="0.25">
      <c r="A122" s="28"/>
      <c r="AL122" s="17">
        <f t="shared" si="20"/>
        <v>234</v>
      </c>
      <c r="AM122" s="17">
        <f t="shared" si="19"/>
        <v>54636</v>
      </c>
    </row>
    <row r="123" spans="1:39" x14ac:dyDescent="0.25">
      <c r="A123" s="28"/>
      <c r="AL123" s="17">
        <f t="shared" si="20"/>
        <v>236</v>
      </c>
      <c r="AM123" s="17">
        <f t="shared" si="19"/>
        <v>55576</v>
      </c>
    </row>
    <row r="124" spans="1:39" x14ac:dyDescent="0.25">
      <c r="A124" s="28"/>
      <c r="AL124" s="17">
        <f t="shared" si="20"/>
        <v>238</v>
      </c>
      <c r="AM124" s="17">
        <f t="shared" si="19"/>
        <v>56524</v>
      </c>
    </row>
    <row r="125" spans="1:39" x14ac:dyDescent="0.25">
      <c r="A125" s="28"/>
      <c r="AL125" s="17">
        <f t="shared" si="20"/>
        <v>240</v>
      </c>
      <c r="AM125" s="17">
        <f t="shared" si="19"/>
        <v>57480</v>
      </c>
    </row>
    <row r="126" spans="1:39" x14ac:dyDescent="0.25">
      <c r="A126" s="28"/>
      <c r="AL126" s="17">
        <f t="shared" si="20"/>
        <v>242</v>
      </c>
      <c r="AM126" s="17">
        <f t="shared" si="19"/>
        <v>58444</v>
      </c>
    </row>
    <row r="127" spans="1:39" x14ac:dyDescent="0.25">
      <c r="A127" s="28"/>
      <c r="AL127" s="17">
        <f t="shared" si="20"/>
        <v>244</v>
      </c>
      <c r="AM127" s="17">
        <f t="shared" si="19"/>
        <v>59416</v>
      </c>
    </row>
    <row r="128" spans="1:39" x14ac:dyDescent="0.25">
      <c r="A128" s="28"/>
      <c r="AL128" s="17">
        <f t="shared" si="20"/>
        <v>246</v>
      </c>
      <c r="AM128" s="17">
        <f t="shared" si="19"/>
        <v>60396</v>
      </c>
    </row>
    <row r="129" spans="1:1" x14ac:dyDescent="0.25">
      <c r="A129" s="28"/>
    </row>
    <row r="130" spans="1:1" x14ac:dyDescent="0.25">
      <c r="A130" s="28"/>
    </row>
    <row r="131" spans="1:1" x14ac:dyDescent="0.25">
      <c r="A131" s="28"/>
    </row>
    <row r="132" spans="1:1" x14ac:dyDescent="0.25">
      <c r="A132" s="28"/>
    </row>
  </sheetData>
  <mergeCells count="18">
    <mergeCell ref="A1:A2"/>
    <mergeCell ref="B1:B2"/>
    <mergeCell ref="C1:C2"/>
    <mergeCell ref="D1:D2"/>
    <mergeCell ref="E1:E2"/>
    <mergeCell ref="B3:E3"/>
    <mergeCell ref="K6:N6"/>
    <mergeCell ref="K7:N7"/>
    <mergeCell ref="K8:N8"/>
    <mergeCell ref="K9:N9"/>
    <mergeCell ref="F1:F3"/>
    <mergeCell ref="K10:N10"/>
    <mergeCell ref="J17:K17"/>
    <mergeCell ref="G1:G3"/>
    <mergeCell ref="H1:H3"/>
    <mergeCell ref="I1:J1"/>
    <mergeCell ref="I2:I10"/>
    <mergeCell ref="K2:N2"/>
  </mergeCells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A85C-5D65-4C3A-9516-54F76D2924E9}">
  <dimension ref="A1:AK132"/>
  <sheetViews>
    <sheetView topLeftCell="H6" zoomScale="110" zoomScaleNormal="110" workbookViewId="0">
      <selection activeCell="I22" sqref="I22"/>
    </sheetView>
  </sheetViews>
  <sheetFormatPr defaultColWidth="9.1796875" defaultRowHeight="12.5" x14ac:dyDescent="0.25"/>
  <cols>
    <col min="1" max="1" width="20.453125" style="17" bestFit="1" customWidth="1"/>
    <col min="2" max="6" width="9.1796875" style="17"/>
    <col min="7" max="7" width="12.453125" style="17" bestFit="1" customWidth="1"/>
    <col min="8" max="8" width="20.26953125" style="17" bestFit="1" customWidth="1"/>
    <col min="9" max="9" width="10.1796875" style="17" bestFit="1" customWidth="1"/>
    <col min="10" max="16384" width="9.1796875" style="17"/>
  </cols>
  <sheetData>
    <row r="1" spans="1:37" ht="25" customHeight="1" x14ac:dyDescent="0.25">
      <c r="A1" s="165" t="s">
        <v>24</v>
      </c>
      <c r="B1" s="167" t="s">
        <v>82</v>
      </c>
      <c r="C1" s="167" t="s">
        <v>83</v>
      </c>
      <c r="D1" s="178" t="s">
        <v>25</v>
      </c>
      <c r="E1" s="183" t="s">
        <v>45</v>
      </c>
      <c r="F1" s="165" t="s">
        <v>46</v>
      </c>
      <c r="G1" s="181" t="s">
        <v>55</v>
      </c>
      <c r="H1" s="182"/>
      <c r="I1" s="18" t="s">
        <v>26</v>
      </c>
      <c r="J1" s="18" t="s">
        <v>27</v>
      </c>
      <c r="K1" s="18" t="s">
        <v>28</v>
      </c>
      <c r="L1" s="18" t="s">
        <v>29</v>
      </c>
    </row>
    <row r="2" spans="1:37" x14ac:dyDescent="0.25">
      <c r="A2" s="166"/>
      <c r="B2" s="168"/>
      <c r="C2" s="168"/>
      <c r="D2" s="178"/>
      <c r="E2" s="184"/>
      <c r="F2" s="186"/>
      <c r="G2" s="187" t="s">
        <v>30</v>
      </c>
      <c r="H2" s="20" t="s">
        <v>31</v>
      </c>
      <c r="I2" s="189">
        <v>110</v>
      </c>
      <c r="J2" s="189"/>
      <c r="K2" s="189"/>
      <c r="L2" s="189"/>
    </row>
    <row r="3" spans="1:37" x14ac:dyDescent="0.25">
      <c r="A3" s="22" t="s">
        <v>32</v>
      </c>
      <c r="B3" s="169" t="s">
        <v>33</v>
      </c>
      <c r="C3" s="170"/>
      <c r="D3" s="165"/>
      <c r="E3" s="185"/>
      <c r="F3" s="166"/>
      <c r="G3" s="188"/>
      <c r="H3" s="25" t="s">
        <v>34</v>
      </c>
      <c r="I3" s="21" t="s">
        <v>79</v>
      </c>
      <c r="J3" s="21" t="str">
        <f>I3</f>
        <v>P</v>
      </c>
      <c r="K3" s="21" t="s">
        <v>35</v>
      </c>
      <c r="L3" s="21" t="s">
        <v>35</v>
      </c>
    </row>
    <row r="4" spans="1:37" x14ac:dyDescent="0.25">
      <c r="A4" s="23">
        <v>70</v>
      </c>
      <c r="B4" s="26">
        <f>'Question 2a_1'!F4</f>
        <v>0</v>
      </c>
      <c r="C4" s="20">
        <f>'Question 2a_2'!F4</f>
        <v>0</v>
      </c>
      <c r="D4" s="27">
        <f t="shared" ref="D4:D35" si="0">SUM(B4:C4)</f>
        <v>0</v>
      </c>
      <c r="E4" s="40">
        <f t="shared" ref="E4:E35" si="1">IF(A4&lt;=$I$18,0,IF(A4&lt;=$I$19,$I$19-A4,IF(A4&lt;=$I$20,A4-$I$19,0)))</f>
        <v>0</v>
      </c>
      <c r="F4" s="41">
        <f>D4-E4</f>
        <v>0</v>
      </c>
      <c r="G4" s="186"/>
      <c r="H4" s="25" t="s">
        <v>36</v>
      </c>
      <c r="I4" s="21">
        <v>0</v>
      </c>
      <c r="J4" s="21">
        <v>0</v>
      </c>
      <c r="K4" s="21">
        <v>0</v>
      </c>
      <c r="L4" s="21">
        <f>-K4</f>
        <v>0</v>
      </c>
      <c r="AJ4" s="17" t="s">
        <v>47</v>
      </c>
      <c r="AK4" s="17" t="s">
        <v>48</v>
      </c>
    </row>
    <row r="5" spans="1:37" x14ac:dyDescent="0.25">
      <c r="A5" s="28">
        <f>A4+1</f>
        <v>71</v>
      </c>
      <c r="B5" s="29">
        <f>'Question 2a_1'!F5</f>
        <v>0</v>
      </c>
      <c r="C5" s="30">
        <f>'Question 2a_2'!F5</f>
        <v>0</v>
      </c>
      <c r="D5" s="31">
        <f t="shared" si="0"/>
        <v>0</v>
      </c>
      <c r="E5" s="40">
        <f t="shared" si="1"/>
        <v>0</v>
      </c>
      <c r="F5" s="41">
        <f t="shared" ref="F5:F68" si="2">D5-E5</f>
        <v>0</v>
      </c>
      <c r="G5" s="186"/>
      <c r="H5" s="30" t="s">
        <v>37</v>
      </c>
      <c r="I5" s="21">
        <v>80</v>
      </c>
      <c r="J5" s="21">
        <v>100</v>
      </c>
      <c r="K5" s="21">
        <v>100</v>
      </c>
      <c r="L5" s="21">
        <v>120</v>
      </c>
      <c r="AJ5" s="17">
        <v>0</v>
      </c>
      <c r="AK5" s="17">
        <f>MAX(0,(AJ5^2)-120)</f>
        <v>0</v>
      </c>
    </row>
    <row r="6" spans="1:37" x14ac:dyDescent="0.25">
      <c r="A6" s="28">
        <f t="shared" ref="A6:A69" si="3">A5+1</f>
        <v>72</v>
      </c>
      <c r="B6" s="29">
        <f>'Question 2a_1'!F6</f>
        <v>0</v>
      </c>
      <c r="C6" s="30">
        <f>'Question 2a_2'!F6</f>
        <v>0</v>
      </c>
      <c r="D6" s="31">
        <f t="shared" si="0"/>
        <v>0</v>
      </c>
      <c r="E6" s="40">
        <f t="shared" si="1"/>
        <v>0</v>
      </c>
      <c r="F6" s="41">
        <f t="shared" si="2"/>
        <v>0</v>
      </c>
      <c r="G6" s="186"/>
      <c r="H6" s="30" t="s">
        <v>38</v>
      </c>
      <c r="I6" s="172">
        <v>0.04</v>
      </c>
      <c r="J6" s="173"/>
      <c r="K6" s="173"/>
      <c r="L6" s="174"/>
      <c r="AJ6" s="17">
        <f>AJ5+2</f>
        <v>2</v>
      </c>
      <c r="AK6" s="17">
        <f t="shared" ref="AK6:AK69" si="4">MAX(0,(AJ6^2)-120)</f>
        <v>0</v>
      </c>
    </row>
    <row r="7" spans="1:37" x14ac:dyDescent="0.25">
      <c r="A7" s="28">
        <f t="shared" si="3"/>
        <v>73</v>
      </c>
      <c r="B7" s="29">
        <f>'Question 2a_1'!F7</f>
        <v>0</v>
      </c>
      <c r="C7" s="30">
        <f>'Question 2a_2'!F7</f>
        <v>0</v>
      </c>
      <c r="D7" s="31">
        <f t="shared" si="0"/>
        <v>0</v>
      </c>
      <c r="E7" s="40">
        <f t="shared" si="1"/>
        <v>0</v>
      </c>
      <c r="F7" s="41">
        <f t="shared" si="2"/>
        <v>0</v>
      </c>
      <c r="G7" s="186"/>
      <c r="H7" s="30" t="s">
        <v>39</v>
      </c>
      <c r="I7" s="172">
        <v>0.01</v>
      </c>
      <c r="J7" s="173"/>
      <c r="K7" s="173"/>
      <c r="L7" s="174"/>
      <c r="AJ7" s="17">
        <f t="shared" ref="AJ7:AJ70" si="5">AJ6+2</f>
        <v>4</v>
      </c>
      <c r="AK7" s="17">
        <f t="shared" si="4"/>
        <v>0</v>
      </c>
    </row>
    <row r="8" spans="1:37" x14ac:dyDescent="0.25">
      <c r="A8" s="28">
        <f t="shared" si="3"/>
        <v>74</v>
      </c>
      <c r="B8" s="29">
        <f>'Question 2a_1'!F8</f>
        <v>0</v>
      </c>
      <c r="C8" s="30">
        <f>'Question 2a_2'!F8</f>
        <v>0</v>
      </c>
      <c r="D8" s="31">
        <f t="shared" si="0"/>
        <v>0</v>
      </c>
      <c r="E8" s="40">
        <f t="shared" si="1"/>
        <v>0</v>
      </c>
      <c r="F8" s="41">
        <f t="shared" si="2"/>
        <v>0</v>
      </c>
      <c r="G8" s="186"/>
      <c r="H8" s="30" t="s">
        <v>40</v>
      </c>
      <c r="I8" s="172">
        <v>0.3</v>
      </c>
      <c r="J8" s="173"/>
      <c r="K8" s="173"/>
      <c r="L8" s="174"/>
      <c r="AJ8" s="17">
        <f t="shared" si="5"/>
        <v>6</v>
      </c>
      <c r="AK8" s="17">
        <f t="shared" si="4"/>
        <v>0</v>
      </c>
    </row>
    <row r="9" spans="1:37" x14ac:dyDescent="0.25">
      <c r="A9" s="28">
        <f t="shared" si="3"/>
        <v>75</v>
      </c>
      <c r="B9" s="29">
        <f>'Question 2a_1'!F9</f>
        <v>0</v>
      </c>
      <c r="C9" s="30">
        <f>'Question 2a_2'!F9</f>
        <v>0</v>
      </c>
      <c r="D9" s="31">
        <f t="shared" si="0"/>
        <v>0</v>
      </c>
      <c r="E9" s="40">
        <f t="shared" si="1"/>
        <v>0</v>
      </c>
      <c r="F9" s="41">
        <f t="shared" si="2"/>
        <v>0</v>
      </c>
      <c r="G9" s="186"/>
      <c r="H9" s="32" t="s">
        <v>41</v>
      </c>
      <c r="I9" s="175">
        <v>1</v>
      </c>
      <c r="J9" s="176"/>
      <c r="K9" s="176"/>
      <c r="L9" s="177"/>
      <c r="AJ9" s="17">
        <f t="shared" si="5"/>
        <v>8</v>
      </c>
      <c r="AK9" s="17">
        <f t="shared" si="4"/>
        <v>0</v>
      </c>
    </row>
    <row r="10" spans="1:37" x14ac:dyDescent="0.25">
      <c r="A10" s="28">
        <f t="shared" si="3"/>
        <v>76</v>
      </c>
      <c r="B10" s="29">
        <f>'Question 2a_1'!F10</f>
        <v>0</v>
      </c>
      <c r="C10" s="30">
        <f>'Question 2a_2'!F10</f>
        <v>0</v>
      </c>
      <c r="D10" s="31">
        <f t="shared" si="0"/>
        <v>0</v>
      </c>
      <c r="E10" s="40">
        <f t="shared" si="1"/>
        <v>0</v>
      </c>
      <c r="F10" s="41">
        <f t="shared" si="2"/>
        <v>0</v>
      </c>
      <c r="G10" s="166"/>
      <c r="H10" s="33" t="s">
        <v>42</v>
      </c>
      <c r="I10" s="175" t="s">
        <v>49</v>
      </c>
      <c r="J10" s="176"/>
      <c r="K10" s="176"/>
      <c r="L10" s="177"/>
      <c r="AJ10" s="17">
        <f t="shared" si="5"/>
        <v>10</v>
      </c>
      <c r="AK10" s="17">
        <f t="shared" si="4"/>
        <v>0</v>
      </c>
    </row>
    <row r="11" spans="1:37" x14ac:dyDescent="0.25">
      <c r="A11" s="28">
        <f t="shared" si="3"/>
        <v>77</v>
      </c>
      <c r="B11" s="29">
        <f>'Question 2a_1'!F11</f>
        <v>0</v>
      </c>
      <c r="C11" s="30">
        <f>'Question 2a_2'!F11</f>
        <v>0</v>
      </c>
      <c r="D11" s="31">
        <f t="shared" si="0"/>
        <v>0</v>
      </c>
      <c r="E11" s="40">
        <f t="shared" si="1"/>
        <v>0</v>
      </c>
      <c r="F11" s="41">
        <f t="shared" si="2"/>
        <v>0</v>
      </c>
      <c r="G11" s="16" t="s">
        <v>43</v>
      </c>
      <c r="H11" s="26" t="s">
        <v>2</v>
      </c>
      <c r="I11" s="22">
        <f>(LN($I$2/I5)+(($I$6-$I$7+(0.5*$I$8*$I$8))*$I$9))/($I$8*SQRT($I$9))</f>
        <v>1.3115124370617821</v>
      </c>
      <c r="J11" s="22">
        <f>(LN($I$2/J5)+(($I$6-$I$7+(0.5*$I$8*$I$8))*$I$9))/($I$8*SQRT($I$9))</f>
        <v>0.56770059934774986</v>
      </c>
      <c r="K11" s="22">
        <f>(LN($I$2/K5)+(($I$6-$I$7+(0.5*$I$8*$I$8))*$I$9))/($I$8*SQRT($I$9))</f>
        <v>0.56770059934774986</v>
      </c>
      <c r="L11" s="22">
        <f>(LN($I$2/L5)+(($I$6-$I$7+(0.5*$I$8*$I$8))*$I$9))/($I$8*SQRT($I$9))</f>
        <v>-4.0037923298766043E-2</v>
      </c>
      <c r="AJ11" s="17">
        <f t="shared" si="5"/>
        <v>12</v>
      </c>
      <c r="AK11" s="17">
        <f t="shared" si="4"/>
        <v>24</v>
      </c>
    </row>
    <row r="12" spans="1:37" x14ac:dyDescent="0.25">
      <c r="A12" s="28">
        <f t="shared" si="3"/>
        <v>78</v>
      </c>
      <c r="B12" s="29">
        <f>'Question 2a_1'!F12</f>
        <v>0</v>
      </c>
      <c r="C12" s="30">
        <f>'Question 2a_2'!F12</f>
        <v>0</v>
      </c>
      <c r="D12" s="31">
        <f t="shared" si="0"/>
        <v>0</v>
      </c>
      <c r="E12" s="40">
        <f t="shared" si="1"/>
        <v>0</v>
      </c>
      <c r="F12" s="41">
        <f t="shared" si="2"/>
        <v>0</v>
      </c>
      <c r="G12" s="24"/>
      <c r="H12" s="29" t="s">
        <v>3</v>
      </c>
      <c r="I12" s="34">
        <f>I11-($I$8*SQRT($I$9))</f>
        <v>1.0115124370617821</v>
      </c>
      <c r="J12" s="34">
        <f>J11-($I$8*SQRT($I$9))</f>
        <v>0.26770059934774987</v>
      </c>
      <c r="K12" s="34">
        <f>K11-($I$8*SQRT($I$9))</f>
        <v>0.26770059934774987</v>
      </c>
      <c r="L12" s="34">
        <f>L11-($I$8*SQRT($I$9))</f>
        <v>-0.34003792329876603</v>
      </c>
      <c r="AJ12" s="17">
        <f t="shared" si="5"/>
        <v>14</v>
      </c>
      <c r="AK12" s="17">
        <f t="shared" si="4"/>
        <v>76</v>
      </c>
    </row>
    <row r="13" spans="1:37" x14ac:dyDescent="0.25">
      <c r="A13" s="28">
        <f t="shared" si="3"/>
        <v>79</v>
      </c>
      <c r="B13" s="29">
        <f>'Question 2a_1'!F13</f>
        <v>0</v>
      </c>
      <c r="C13" s="30">
        <f>'Question 2a_2'!F13</f>
        <v>0</v>
      </c>
      <c r="D13" s="31">
        <f t="shared" si="0"/>
        <v>0</v>
      </c>
      <c r="E13" s="40">
        <f t="shared" si="1"/>
        <v>0</v>
      </c>
      <c r="F13" s="41">
        <f t="shared" si="2"/>
        <v>0</v>
      </c>
      <c r="G13" s="19"/>
      <c r="H13" s="35" t="s">
        <v>44</v>
      </c>
      <c r="I13" s="36">
        <f>IF(I3="C",($I$2*EXP(-$I$7*$I$9)*NORMSDIST(I11))-(I5*EXP(-$I$6*$I$9)*NORMSDIST(I12)),(-$I$2*EXP(-$I$7*$I$9)*NORMSDIST(-I11))-(-I5*EXP(-$I$6*$I$9)*NORMSDIST(-I12)))</f>
        <v>1.6530087464555852</v>
      </c>
      <c r="J13" s="36">
        <f>IF(J3="C",($I$2*EXP(-$I$7*$I$9)*NORMSDIST(J11))-(J5*EXP(-$I$6*$I$9)*NORMSDIST(J12)),(-$I$2*EXP(-$I$7*$I$9)*NORMSDIST(-J11))-(-J5*EXP(-$I$6*$I$9)*NORMSDIST(-J12)))</f>
        <v>6.8487329144049625</v>
      </c>
      <c r="K13" s="36">
        <f>IF(K3="C",($I$2*EXP(-$I$7*$I$9)*NORMSDIST(K11))-(K5*EXP(-$I$6*$I$9)*NORMSDIST(K12)),(-$I$2*EXP(-$I$7*$I$9)*NORMSDIST(-K11))-(-K5*EXP(-$I$6*$I$9)*NORMSDIST(-K12)))</f>
        <v>19.675270711581121</v>
      </c>
      <c r="L13" s="36">
        <f>IF(L3="C",($I$2*EXP(-$I$7*$I$9)*NORMSDIST(L11))-(L5*EXP(-$I$6*$I$9)*NORMSDIST(L12)),(-$I$2*EXP(-$I$7*$I$9)*NORMSDIST(-L11))-(-L5*EXP(-$I$6*$I$9)*NORMSDIST(-L12)))</f>
        <v>10.410428026973804</v>
      </c>
      <c r="AJ13" s="17">
        <f t="shared" si="5"/>
        <v>16</v>
      </c>
      <c r="AK13" s="17">
        <f t="shared" si="4"/>
        <v>136</v>
      </c>
    </row>
    <row r="14" spans="1:37" x14ac:dyDescent="0.25">
      <c r="A14" s="28">
        <f t="shared" si="3"/>
        <v>80</v>
      </c>
      <c r="B14" s="29">
        <f>'Question 2a_1'!F14</f>
        <v>0</v>
      </c>
      <c r="C14" s="30">
        <f>'Question 2a_2'!F14</f>
        <v>0</v>
      </c>
      <c r="D14" s="31">
        <f t="shared" si="0"/>
        <v>0</v>
      </c>
      <c r="E14" s="40">
        <f t="shared" si="1"/>
        <v>0</v>
      </c>
      <c r="F14" s="41">
        <f t="shared" si="2"/>
        <v>0</v>
      </c>
      <c r="H14" s="21" t="s">
        <v>50</v>
      </c>
      <c r="I14" s="42">
        <f>'Question 2a_1'!K14+'Question 2a_2'!K14</f>
        <v>4.414569232228942</v>
      </c>
      <c r="AJ14" s="17">
        <f t="shared" si="5"/>
        <v>18</v>
      </c>
      <c r="AK14" s="17">
        <f t="shared" si="4"/>
        <v>204</v>
      </c>
    </row>
    <row r="15" spans="1:37" x14ac:dyDescent="0.25">
      <c r="A15" s="28">
        <f t="shared" si="3"/>
        <v>81</v>
      </c>
      <c r="B15" s="29">
        <f>'Question 2a_1'!F15</f>
        <v>19.000000006286427</v>
      </c>
      <c r="C15" s="30">
        <f>'Question 2a_2'!F15</f>
        <v>0</v>
      </c>
      <c r="D15" s="31">
        <f t="shared" si="0"/>
        <v>19.000000006286427</v>
      </c>
      <c r="E15" s="40">
        <f t="shared" si="1"/>
        <v>19</v>
      </c>
      <c r="F15" s="41">
        <f t="shared" si="2"/>
        <v>6.28642737865448E-9</v>
      </c>
      <c r="AJ15" s="17">
        <f t="shared" si="5"/>
        <v>20</v>
      </c>
      <c r="AK15" s="17">
        <f t="shared" si="4"/>
        <v>280</v>
      </c>
    </row>
    <row r="16" spans="1:37" ht="13" thickBot="1" x14ac:dyDescent="0.3">
      <c r="A16" s="28">
        <f t="shared" si="3"/>
        <v>82</v>
      </c>
      <c r="B16" s="29">
        <f>'Question 2a_1'!F16</f>
        <v>18.000000006519258</v>
      </c>
      <c r="C16" s="30">
        <f>'Question 2a_2'!F16</f>
        <v>0</v>
      </c>
      <c r="D16" s="31">
        <f t="shared" si="0"/>
        <v>18.000000006519258</v>
      </c>
      <c r="E16" s="40">
        <f t="shared" si="1"/>
        <v>18</v>
      </c>
      <c r="F16" s="41">
        <f t="shared" si="2"/>
        <v>6.5192580223083496E-9</v>
      </c>
      <c r="AJ16" s="17">
        <f t="shared" si="5"/>
        <v>22</v>
      </c>
      <c r="AK16" s="17">
        <f t="shared" si="4"/>
        <v>364</v>
      </c>
    </row>
    <row r="17" spans="1:37" ht="13" thickBot="1" x14ac:dyDescent="0.3">
      <c r="A17" s="28">
        <f t="shared" si="3"/>
        <v>83</v>
      </c>
      <c r="B17" s="29">
        <f>'Question 2a_1'!F17</f>
        <v>17.000000006519258</v>
      </c>
      <c r="C17" s="30">
        <f>'Question 2a_2'!F17</f>
        <v>0</v>
      </c>
      <c r="D17" s="31">
        <f t="shared" si="0"/>
        <v>17.000000006519258</v>
      </c>
      <c r="E17" s="40">
        <f t="shared" si="1"/>
        <v>17</v>
      </c>
      <c r="F17" s="41">
        <f t="shared" si="2"/>
        <v>6.5192580223083496E-9</v>
      </c>
      <c r="H17" s="179" t="s">
        <v>54</v>
      </c>
      <c r="I17" s="180"/>
      <c r="AJ17" s="17">
        <f t="shared" si="5"/>
        <v>24</v>
      </c>
      <c r="AK17" s="17">
        <f t="shared" si="4"/>
        <v>456</v>
      </c>
    </row>
    <row r="18" spans="1:37" x14ac:dyDescent="0.25">
      <c r="A18" s="28">
        <f t="shared" si="3"/>
        <v>84</v>
      </c>
      <c r="B18" s="29">
        <f>'Question 2a_1'!F18</f>
        <v>16.000000006519258</v>
      </c>
      <c r="C18" s="30">
        <f>'Question 2a_2'!F18</f>
        <v>0</v>
      </c>
      <c r="D18" s="31">
        <f t="shared" si="0"/>
        <v>16.000000006519258</v>
      </c>
      <c r="E18" s="40">
        <f t="shared" si="1"/>
        <v>16</v>
      </c>
      <c r="F18" s="41">
        <f t="shared" si="2"/>
        <v>6.5192580223083496E-9</v>
      </c>
      <c r="H18" s="45" t="s">
        <v>52</v>
      </c>
      <c r="I18" s="43">
        <v>80</v>
      </c>
      <c r="AJ18" s="17">
        <f t="shared" si="5"/>
        <v>26</v>
      </c>
      <c r="AK18" s="17">
        <f t="shared" si="4"/>
        <v>556</v>
      </c>
    </row>
    <row r="19" spans="1:37" x14ac:dyDescent="0.25">
      <c r="A19" s="28">
        <f t="shared" si="3"/>
        <v>85</v>
      </c>
      <c r="B19" s="29">
        <f>'Question 2a_1'!F19</f>
        <v>15.000000005587935</v>
      </c>
      <c r="C19" s="30">
        <f>'Question 2a_2'!F19</f>
        <v>0</v>
      </c>
      <c r="D19" s="31">
        <f t="shared" si="0"/>
        <v>15.000000005587935</v>
      </c>
      <c r="E19" s="40">
        <f t="shared" si="1"/>
        <v>15</v>
      </c>
      <c r="F19" s="41">
        <f t="shared" si="2"/>
        <v>5.5879354476928711E-9</v>
      </c>
      <c r="H19" s="44" t="s">
        <v>80</v>
      </c>
      <c r="I19" s="43">
        <v>100</v>
      </c>
      <c r="AJ19" s="17">
        <f t="shared" si="5"/>
        <v>28</v>
      </c>
      <c r="AK19" s="17">
        <f t="shared" si="4"/>
        <v>664</v>
      </c>
    </row>
    <row r="20" spans="1:37" x14ac:dyDescent="0.25">
      <c r="A20" s="28">
        <f t="shared" si="3"/>
        <v>86</v>
      </c>
      <c r="B20" s="29">
        <f>'Question 2a_1'!F20</f>
        <v>14.000000005587935</v>
      </c>
      <c r="C20" s="30">
        <f>'Question 2a_2'!F20</f>
        <v>0</v>
      </c>
      <c r="D20" s="31">
        <f t="shared" si="0"/>
        <v>14.000000005587935</v>
      </c>
      <c r="E20" s="40">
        <f t="shared" si="1"/>
        <v>14</v>
      </c>
      <c r="F20" s="41">
        <f t="shared" si="2"/>
        <v>5.5879354476928711E-9</v>
      </c>
      <c r="H20" s="44" t="s">
        <v>81</v>
      </c>
      <c r="I20" s="43">
        <v>120</v>
      </c>
      <c r="AJ20" s="17">
        <f t="shared" si="5"/>
        <v>30</v>
      </c>
      <c r="AK20" s="17">
        <f t="shared" si="4"/>
        <v>780</v>
      </c>
    </row>
    <row r="21" spans="1:37" ht="13" x14ac:dyDescent="0.3">
      <c r="A21" s="28">
        <f t="shared" si="3"/>
        <v>87</v>
      </c>
      <c r="B21" s="29">
        <f>'Question 2a_1'!F21</f>
        <v>13.000000005587935</v>
      </c>
      <c r="C21" s="30">
        <f>'Question 2a_2'!F21</f>
        <v>0</v>
      </c>
      <c r="D21" s="31">
        <f t="shared" si="0"/>
        <v>13.000000005587935</v>
      </c>
      <c r="E21" s="40">
        <f t="shared" si="1"/>
        <v>13</v>
      </c>
      <c r="F21" s="41">
        <f t="shared" si="2"/>
        <v>5.5879354476928711E-9</v>
      </c>
      <c r="H21" s="44" t="s">
        <v>51</v>
      </c>
      <c r="I21" s="46">
        <f>(J13-I13)+(K13-L13)-((I19-I18)*NORMSDIST(-I12)*EXP(-I6*I9))-((I20-I19)*NORMSDIST(L12)*EXP(-I6*I9))</f>
        <v>4.4145601571956243</v>
      </c>
      <c r="AJ21" s="17">
        <f t="shared" si="5"/>
        <v>32</v>
      </c>
      <c r="AK21" s="17">
        <f t="shared" si="4"/>
        <v>904</v>
      </c>
    </row>
    <row r="22" spans="1:37" x14ac:dyDescent="0.25">
      <c r="A22" s="28">
        <f t="shared" si="3"/>
        <v>88</v>
      </c>
      <c r="B22" s="29">
        <f>'Question 2a_1'!F22</f>
        <v>12.000000005587935</v>
      </c>
      <c r="C22" s="30">
        <f>'Question 2a_2'!F22</f>
        <v>0</v>
      </c>
      <c r="D22" s="31">
        <f t="shared" si="0"/>
        <v>12.000000005587935</v>
      </c>
      <c r="E22" s="40">
        <f t="shared" si="1"/>
        <v>12</v>
      </c>
      <c r="F22" s="41">
        <f t="shared" si="2"/>
        <v>5.5879354476928711E-9</v>
      </c>
      <c r="AJ22" s="17">
        <f t="shared" si="5"/>
        <v>34</v>
      </c>
      <c r="AK22" s="17">
        <f t="shared" si="4"/>
        <v>1036</v>
      </c>
    </row>
    <row r="23" spans="1:37" x14ac:dyDescent="0.25">
      <c r="A23" s="28">
        <f t="shared" si="3"/>
        <v>89</v>
      </c>
      <c r="B23" s="29">
        <f>'Question 2a_1'!F23</f>
        <v>11.000000007450581</v>
      </c>
      <c r="C23" s="30">
        <f>'Question 2a_2'!F23</f>
        <v>0</v>
      </c>
      <c r="D23" s="31">
        <f t="shared" si="0"/>
        <v>11.000000007450581</v>
      </c>
      <c r="E23" s="40">
        <f t="shared" si="1"/>
        <v>11</v>
      </c>
      <c r="F23" s="41">
        <f t="shared" si="2"/>
        <v>7.4505805969238281E-9</v>
      </c>
      <c r="AJ23" s="17">
        <f t="shared" si="5"/>
        <v>36</v>
      </c>
      <c r="AK23" s="17">
        <f t="shared" si="4"/>
        <v>1176</v>
      </c>
    </row>
    <row r="24" spans="1:37" x14ac:dyDescent="0.25">
      <c r="A24" s="28">
        <f t="shared" si="3"/>
        <v>90</v>
      </c>
      <c r="B24" s="29">
        <f>'Question 2a_1'!F24</f>
        <v>10.000000007450581</v>
      </c>
      <c r="C24" s="30">
        <f>'Question 2a_2'!F24</f>
        <v>0</v>
      </c>
      <c r="D24" s="31">
        <f t="shared" si="0"/>
        <v>10.000000007450581</v>
      </c>
      <c r="E24" s="40">
        <f t="shared" si="1"/>
        <v>10</v>
      </c>
      <c r="F24" s="41">
        <f t="shared" si="2"/>
        <v>7.4505805969238281E-9</v>
      </c>
      <c r="AJ24" s="17">
        <f t="shared" si="5"/>
        <v>38</v>
      </c>
      <c r="AK24" s="17">
        <f t="shared" si="4"/>
        <v>1324</v>
      </c>
    </row>
    <row r="25" spans="1:37" x14ac:dyDescent="0.25">
      <c r="A25" s="28">
        <f t="shared" si="3"/>
        <v>91</v>
      </c>
      <c r="B25" s="29">
        <f>'Question 2a_1'!F25</f>
        <v>9.0000000074505806</v>
      </c>
      <c r="C25" s="30">
        <f>'Question 2a_2'!F25</f>
        <v>0</v>
      </c>
      <c r="D25" s="31">
        <f t="shared" si="0"/>
        <v>9.0000000074505806</v>
      </c>
      <c r="E25" s="40">
        <f t="shared" si="1"/>
        <v>9</v>
      </c>
      <c r="F25" s="41">
        <f t="shared" si="2"/>
        <v>7.4505805969238281E-9</v>
      </c>
      <c r="G25" s="37"/>
      <c r="AJ25" s="17">
        <f t="shared" si="5"/>
        <v>40</v>
      </c>
      <c r="AK25" s="17">
        <f t="shared" si="4"/>
        <v>1480</v>
      </c>
    </row>
    <row r="26" spans="1:37" x14ac:dyDescent="0.25">
      <c r="A26" s="28">
        <f t="shared" si="3"/>
        <v>92</v>
      </c>
      <c r="B26" s="29">
        <f>'Question 2a_1'!F26</f>
        <v>8.0000000074505806</v>
      </c>
      <c r="C26" s="30">
        <f>'Question 2a_2'!F26</f>
        <v>0</v>
      </c>
      <c r="D26" s="31">
        <f t="shared" si="0"/>
        <v>8.0000000074505806</v>
      </c>
      <c r="E26" s="40">
        <f t="shared" si="1"/>
        <v>8</v>
      </c>
      <c r="F26" s="41">
        <f t="shared" si="2"/>
        <v>7.4505805969238281E-9</v>
      </c>
      <c r="AJ26" s="17">
        <f t="shared" si="5"/>
        <v>42</v>
      </c>
      <c r="AK26" s="17">
        <f t="shared" si="4"/>
        <v>1644</v>
      </c>
    </row>
    <row r="27" spans="1:37" x14ac:dyDescent="0.25">
      <c r="A27" s="28">
        <f t="shared" si="3"/>
        <v>93</v>
      </c>
      <c r="B27" s="29">
        <f>'Question 2a_1'!F27</f>
        <v>7.0000000074505806</v>
      </c>
      <c r="C27" s="30">
        <f>'Question 2a_2'!F27</f>
        <v>0</v>
      </c>
      <c r="D27" s="31">
        <f t="shared" si="0"/>
        <v>7.0000000074505806</v>
      </c>
      <c r="E27" s="40">
        <f t="shared" si="1"/>
        <v>7</v>
      </c>
      <c r="F27" s="41">
        <f t="shared" si="2"/>
        <v>7.4505805969238281E-9</v>
      </c>
      <c r="AJ27" s="17">
        <f t="shared" si="5"/>
        <v>44</v>
      </c>
      <c r="AK27" s="17">
        <f t="shared" si="4"/>
        <v>1816</v>
      </c>
    </row>
    <row r="28" spans="1:37" x14ac:dyDescent="0.25">
      <c r="A28" s="28">
        <f t="shared" si="3"/>
        <v>94</v>
      </c>
      <c r="B28" s="29">
        <f>'Question 2a_1'!F28</f>
        <v>6.0000000074505806</v>
      </c>
      <c r="C28" s="30">
        <f>'Question 2a_2'!F28</f>
        <v>0</v>
      </c>
      <c r="D28" s="31">
        <f t="shared" si="0"/>
        <v>6.0000000074505806</v>
      </c>
      <c r="E28" s="40">
        <f t="shared" si="1"/>
        <v>6</v>
      </c>
      <c r="F28" s="41">
        <f t="shared" si="2"/>
        <v>7.4505805969238281E-9</v>
      </c>
      <c r="AJ28" s="17">
        <f t="shared" si="5"/>
        <v>46</v>
      </c>
      <c r="AK28" s="17">
        <f t="shared" si="4"/>
        <v>1996</v>
      </c>
    </row>
    <row r="29" spans="1:37" x14ac:dyDescent="0.25">
      <c r="A29" s="28">
        <f t="shared" si="3"/>
        <v>95</v>
      </c>
      <c r="B29" s="29">
        <f>'Question 2a_1'!F29</f>
        <v>5.0000000074505806</v>
      </c>
      <c r="C29" s="30">
        <f>'Question 2a_2'!F29</f>
        <v>0</v>
      </c>
      <c r="D29" s="31">
        <f t="shared" si="0"/>
        <v>5.0000000074505806</v>
      </c>
      <c r="E29" s="40">
        <f t="shared" si="1"/>
        <v>5</v>
      </c>
      <c r="F29" s="41">
        <f t="shared" si="2"/>
        <v>7.4505805969238281E-9</v>
      </c>
      <c r="AJ29" s="17">
        <f t="shared" si="5"/>
        <v>48</v>
      </c>
      <c r="AK29" s="17">
        <f t="shared" si="4"/>
        <v>2184</v>
      </c>
    </row>
    <row r="30" spans="1:37" x14ac:dyDescent="0.25">
      <c r="A30" s="28">
        <f t="shared" si="3"/>
        <v>96</v>
      </c>
      <c r="B30" s="29">
        <f>'Question 2a_1'!F30</f>
        <v>4.0000000074505806</v>
      </c>
      <c r="C30" s="30">
        <f>'Question 2a_2'!F30</f>
        <v>0</v>
      </c>
      <c r="D30" s="31">
        <f t="shared" si="0"/>
        <v>4.0000000074505806</v>
      </c>
      <c r="E30" s="40">
        <f t="shared" si="1"/>
        <v>4</v>
      </c>
      <c r="F30" s="41">
        <f t="shared" si="2"/>
        <v>7.4505805969238281E-9</v>
      </c>
      <c r="AJ30" s="17">
        <f t="shared" si="5"/>
        <v>50</v>
      </c>
      <c r="AK30" s="17">
        <f t="shared" si="4"/>
        <v>2380</v>
      </c>
    </row>
    <row r="31" spans="1:37" x14ac:dyDescent="0.25">
      <c r="A31" s="28">
        <f t="shared" si="3"/>
        <v>97</v>
      </c>
      <c r="B31" s="29">
        <f>'Question 2a_1'!F31</f>
        <v>3.0000000074505806</v>
      </c>
      <c r="C31" s="30">
        <f>'Question 2a_2'!F31</f>
        <v>0</v>
      </c>
      <c r="D31" s="31">
        <f t="shared" si="0"/>
        <v>3.0000000074505806</v>
      </c>
      <c r="E31" s="40">
        <f t="shared" si="1"/>
        <v>3</v>
      </c>
      <c r="F31" s="41">
        <f t="shared" si="2"/>
        <v>7.4505805969238281E-9</v>
      </c>
      <c r="AJ31" s="17">
        <f t="shared" si="5"/>
        <v>52</v>
      </c>
      <c r="AK31" s="17">
        <f t="shared" si="4"/>
        <v>2584</v>
      </c>
    </row>
    <row r="32" spans="1:37" x14ac:dyDescent="0.25">
      <c r="A32" s="28">
        <f t="shared" si="3"/>
        <v>98</v>
      </c>
      <c r="B32" s="29">
        <f>'Question 2a_1'!F32</f>
        <v>2.0000000074505806</v>
      </c>
      <c r="C32" s="30">
        <f>'Question 2a_2'!F32</f>
        <v>0</v>
      </c>
      <c r="D32" s="31">
        <f t="shared" si="0"/>
        <v>2.0000000074505806</v>
      </c>
      <c r="E32" s="40">
        <f t="shared" si="1"/>
        <v>2</v>
      </c>
      <c r="F32" s="41">
        <f t="shared" si="2"/>
        <v>7.4505805969238281E-9</v>
      </c>
      <c r="AJ32" s="17">
        <f t="shared" si="5"/>
        <v>54</v>
      </c>
      <c r="AK32" s="17">
        <f t="shared" si="4"/>
        <v>2796</v>
      </c>
    </row>
    <row r="33" spans="1:37" x14ac:dyDescent="0.25">
      <c r="A33" s="28">
        <f t="shared" si="3"/>
        <v>99</v>
      </c>
      <c r="B33" s="29">
        <f>'Question 2a_1'!F33</f>
        <v>1.0000000074505806</v>
      </c>
      <c r="C33" s="30">
        <f>'Question 2a_2'!F33</f>
        <v>0</v>
      </c>
      <c r="D33" s="31">
        <f t="shared" si="0"/>
        <v>1.0000000074505806</v>
      </c>
      <c r="E33" s="40">
        <f t="shared" si="1"/>
        <v>1</v>
      </c>
      <c r="F33" s="41">
        <f t="shared" si="2"/>
        <v>7.4505805969238281E-9</v>
      </c>
      <c r="AJ33" s="17">
        <f t="shared" si="5"/>
        <v>56</v>
      </c>
      <c r="AK33" s="17">
        <f t="shared" si="4"/>
        <v>3016</v>
      </c>
    </row>
    <row r="34" spans="1:37" x14ac:dyDescent="0.25">
      <c r="A34" s="28">
        <f t="shared" si="3"/>
        <v>100</v>
      </c>
      <c r="B34" s="29">
        <f>'Question 2a_1'!F34</f>
        <v>7.4505805969238281E-9</v>
      </c>
      <c r="C34" s="30">
        <f>'Question 2a_2'!F34</f>
        <v>0</v>
      </c>
      <c r="D34" s="31">
        <f t="shared" si="0"/>
        <v>7.4505805969238281E-9</v>
      </c>
      <c r="E34" s="40">
        <f t="shared" si="1"/>
        <v>0</v>
      </c>
      <c r="F34" s="41">
        <f t="shared" si="2"/>
        <v>7.4505805969238281E-9</v>
      </c>
      <c r="AJ34" s="17">
        <f t="shared" si="5"/>
        <v>58</v>
      </c>
      <c r="AK34" s="17">
        <f t="shared" si="4"/>
        <v>3244</v>
      </c>
    </row>
    <row r="35" spans="1:37" x14ac:dyDescent="0.25">
      <c r="A35" s="28">
        <f t="shared" si="3"/>
        <v>101</v>
      </c>
      <c r="B35" s="29">
        <f>'Question 2a_1'!F35</f>
        <v>7.4505805969238281E-9</v>
      </c>
      <c r="C35" s="30">
        <f>'Question 2a_2'!F35</f>
        <v>1</v>
      </c>
      <c r="D35" s="31">
        <f t="shared" si="0"/>
        <v>1.0000000074505806</v>
      </c>
      <c r="E35" s="40">
        <f t="shared" si="1"/>
        <v>1</v>
      </c>
      <c r="F35" s="41">
        <f t="shared" si="2"/>
        <v>7.4505805969238281E-9</v>
      </c>
      <c r="AJ35" s="17">
        <f t="shared" si="5"/>
        <v>60</v>
      </c>
      <c r="AK35" s="17">
        <f t="shared" si="4"/>
        <v>3480</v>
      </c>
    </row>
    <row r="36" spans="1:37" x14ac:dyDescent="0.25">
      <c r="A36" s="28">
        <f t="shared" si="3"/>
        <v>102</v>
      </c>
      <c r="B36" s="29">
        <f>'Question 2a_1'!F36</f>
        <v>7.4505805969238281E-9</v>
      </c>
      <c r="C36" s="30">
        <f>'Question 2a_2'!F36</f>
        <v>2</v>
      </c>
      <c r="D36" s="31">
        <f t="shared" ref="D36:D67" si="6">SUM(B36:C36)</f>
        <v>2.0000000074505806</v>
      </c>
      <c r="E36" s="40">
        <f t="shared" ref="E36:E67" si="7">IF(A36&lt;=$I$18,0,IF(A36&lt;=$I$19,$I$19-A36,IF(A36&lt;=$I$20,A36-$I$19,0)))</f>
        <v>2</v>
      </c>
      <c r="F36" s="41">
        <f t="shared" si="2"/>
        <v>7.4505805969238281E-9</v>
      </c>
      <c r="AJ36" s="17">
        <f t="shared" si="5"/>
        <v>62</v>
      </c>
      <c r="AK36" s="17">
        <f t="shared" si="4"/>
        <v>3724</v>
      </c>
    </row>
    <row r="37" spans="1:37" x14ac:dyDescent="0.25">
      <c r="A37" s="28">
        <f t="shared" si="3"/>
        <v>103</v>
      </c>
      <c r="B37" s="29">
        <f>'Question 2a_1'!F37</f>
        <v>7.4505805969238281E-9</v>
      </c>
      <c r="C37" s="30">
        <f>'Question 2a_2'!F37</f>
        <v>3</v>
      </c>
      <c r="D37" s="31">
        <f t="shared" si="6"/>
        <v>3.0000000074505806</v>
      </c>
      <c r="E37" s="40">
        <f t="shared" si="7"/>
        <v>3</v>
      </c>
      <c r="F37" s="41">
        <f t="shared" si="2"/>
        <v>7.4505805969238281E-9</v>
      </c>
      <c r="AJ37" s="17">
        <f t="shared" si="5"/>
        <v>64</v>
      </c>
      <c r="AK37" s="17">
        <f t="shared" si="4"/>
        <v>3976</v>
      </c>
    </row>
    <row r="38" spans="1:37" x14ac:dyDescent="0.25">
      <c r="A38" s="28">
        <f t="shared" si="3"/>
        <v>104</v>
      </c>
      <c r="B38" s="29">
        <f>'Question 2a_1'!F38</f>
        <v>7.4505805969238281E-9</v>
      </c>
      <c r="C38" s="30">
        <f>'Question 2a_2'!F38</f>
        <v>4</v>
      </c>
      <c r="D38" s="31">
        <f t="shared" si="6"/>
        <v>4.0000000074505806</v>
      </c>
      <c r="E38" s="40">
        <f t="shared" si="7"/>
        <v>4</v>
      </c>
      <c r="F38" s="41">
        <f t="shared" si="2"/>
        <v>7.4505805969238281E-9</v>
      </c>
      <c r="AJ38" s="17">
        <f t="shared" si="5"/>
        <v>66</v>
      </c>
      <c r="AK38" s="17">
        <f t="shared" si="4"/>
        <v>4236</v>
      </c>
    </row>
    <row r="39" spans="1:37" x14ac:dyDescent="0.25">
      <c r="A39" s="28">
        <f t="shared" si="3"/>
        <v>105</v>
      </c>
      <c r="B39" s="29">
        <f>'Question 2a_1'!F39</f>
        <v>7.4505805969238281E-9</v>
      </c>
      <c r="C39" s="30">
        <f>'Question 2a_2'!F39</f>
        <v>5</v>
      </c>
      <c r="D39" s="31">
        <f t="shared" si="6"/>
        <v>5.0000000074505806</v>
      </c>
      <c r="E39" s="40">
        <f t="shared" si="7"/>
        <v>5</v>
      </c>
      <c r="F39" s="41">
        <f t="shared" si="2"/>
        <v>7.4505805969238281E-9</v>
      </c>
      <c r="AJ39" s="17">
        <f t="shared" si="5"/>
        <v>68</v>
      </c>
      <c r="AK39" s="17">
        <f t="shared" si="4"/>
        <v>4504</v>
      </c>
    </row>
    <row r="40" spans="1:37" x14ac:dyDescent="0.25">
      <c r="A40" s="28">
        <f t="shared" si="3"/>
        <v>106</v>
      </c>
      <c r="B40" s="29">
        <f>'Question 2a_1'!F40</f>
        <v>7.4505805969238281E-9</v>
      </c>
      <c r="C40" s="30">
        <f>'Question 2a_2'!F40</f>
        <v>6</v>
      </c>
      <c r="D40" s="31">
        <f t="shared" si="6"/>
        <v>6.0000000074505806</v>
      </c>
      <c r="E40" s="40">
        <f t="shared" si="7"/>
        <v>6</v>
      </c>
      <c r="F40" s="41">
        <f t="shared" si="2"/>
        <v>7.4505805969238281E-9</v>
      </c>
      <c r="AJ40" s="17">
        <f t="shared" si="5"/>
        <v>70</v>
      </c>
      <c r="AK40" s="17">
        <f t="shared" si="4"/>
        <v>4780</v>
      </c>
    </row>
    <row r="41" spans="1:37" x14ac:dyDescent="0.25">
      <c r="A41" s="28">
        <f t="shared" si="3"/>
        <v>107</v>
      </c>
      <c r="B41" s="29">
        <f>'Question 2a_1'!F41</f>
        <v>7.4505805969238281E-9</v>
      </c>
      <c r="C41" s="30">
        <f>'Question 2a_2'!F41</f>
        <v>7</v>
      </c>
      <c r="D41" s="31">
        <f t="shared" si="6"/>
        <v>7.0000000074505806</v>
      </c>
      <c r="E41" s="40">
        <f t="shared" si="7"/>
        <v>7</v>
      </c>
      <c r="F41" s="41">
        <f t="shared" si="2"/>
        <v>7.4505805969238281E-9</v>
      </c>
      <c r="AJ41" s="17">
        <f t="shared" si="5"/>
        <v>72</v>
      </c>
      <c r="AK41" s="17">
        <f t="shared" si="4"/>
        <v>5064</v>
      </c>
    </row>
    <row r="42" spans="1:37" x14ac:dyDescent="0.25">
      <c r="A42" s="28">
        <f t="shared" si="3"/>
        <v>108</v>
      </c>
      <c r="B42" s="29">
        <f>'Question 2a_1'!F42</f>
        <v>7.4505805969238281E-9</v>
      </c>
      <c r="C42" s="30">
        <f>'Question 2a_2'!F42</f>
        <v>8</v>
      </c>
      <c r="D42" s="31">
        <f t="shared" si="6"/>
        <v>8.0000000074505806</v>
      </c>
      <c r="E42" s="40">
        <f t="shared" si="7"/>
        <v>8</v>
      </c>
      <c r="F42" s="41">
        <f t="shared" si="2"/>
        <v>7.4505805969238281E-9</v>
      </c>
      <c r="AJ42" s="17">
        <f t="shared" si="5"/>
        <v>74</v>
      </c>
      <c r="AK42" s="17">
        <f t="shared" si="4"/>
        <v>5356</v>
      </c>
    </row>
    <row r="43" spans="1:37" x14ac:dyDescent="0.25">
      <c r="A43" s="28">
        <f t="shared" si="3"/>
        <v>109</v>
      </c>
      <c r="B43" s="29">
        <f>'Question 2a_1'!F43</f>
        <v>7.4505805969238281E-9</v>
      </c>
      <c r="C43" s="30">
        <f>'Question 2a_2'!F43</f>
        <v>9</v>
      </c>
      <c r="D43" s="31">
        <f t="shared" si="6"/>
        <v>9.0000000074505806</v>
      </c>
      <c r="E43" s="40">
        <f t="shared" si="7"/>
        <v>9</v>
      </c>
      <c r="F43" s="41">
        <f t="shared" si="2"/>
        <v>7.4505805969238281E-9</v>
      </c>
      <c r="AJ43" s="17">
        <f t="shared" si="5"/>
        <v>76</v>
      </c>
      <c r="AK43" s="17">
        <f t="shared" si="4"/>
        <v>5656</v>
      </c>
    </row>
    <row r="44" spans="1:37" x14ac:dyDescent="0.25">
      <c r="A44" s="28">
        <f t="shared" si="3"/>
        <v>110</v>
      </c>
      <c r="B44" s="29">
        <f>'Question 2a_1'!F44</f>
        <v>7.4505805969238281E-9</v>
      </c>
      <c r="C44" s="30">
        <f>'Question 2a_2'!F44</f>
        <v>10</v>
      </c>
      <c r="D44" s="31">
        <f t="shared" si="6"/>
        <v>10.000000007450581</v>
      </c>
      <c r="E44" s="40">
        <f t="shared" si="7"/>
        <v>10</v>
      </c>
      <c r="F44" s="41">
        <f t="shared" si="2"/>
        <v>7.4505805969238281E-9</v>
      </c>
      <c r="AJ44" s="17">
        <f t="shared" si="5"/>
        <v>78</v>
      </c>
      <c r="AK44" s="17">
        <f t="shared" si="4"/>
        <v>5964</v>
      </c>
    </row>
    <row r="45" spans="1:37" x14ac:dyDescent="0.25">
      <c r="A45" s="28">
        <f t="shared" si="3"/>
        <v>111</v>
      </c>
      <c r="B45" s="29">
        <f>'Question 2a_1'!F45</f>
        <v>7.4505805969238281E-9</v>
      </c>
      <c r="C45" s="30">
        <f>'Question 2a_2'!F45</f>
        <v>11</v>
      </c>
      <c r="D45" s="31">
        <f t="shared" si="6"/>
        <v>11.000000007450581</v>
      </c>
      <c r="E45" s="40">
        <f t="shared" si="7"/>
        <v>11</v>
      </c>
      <c r="F45" s="41">
        <f t="shared" si="2"/>
        <v>7.4505805969238281E-9</v>
      </c>
      <c r="AJ45" s="17">
        <f t="shared" si="5"/>
        <v>80</v>
      </c>
      <c r="AK45" s="17">
        <f t="shared" si="4"/>
        <v>6280</v>
      </c>
    </row>
    <row r="46" spans="1:37" x14ac:dyDescent="0.25">
      <c r="A46" s="28">
        <f t="shared" si="3"/>
        <v>112</v>
      </c>
      <c r="B46" s="29">
        <f>'Question 2a_1'!F46</f>
        <v>7.4505805969238281E-9</v>
      </c>
      <c r="C46" s="30">
        <f>'Question 2a_2'!F46</f>
        <v>12</v>
      </c>
      <c r="D46" s="31">
        <f t="shared" si="6"/>
        <v>12.000000007450581</v>
      </c>
      <c r="E46" s="40">
        <f t="shared" si="7"/>
        <v>12</v>
      </c>
      <c r="F46" s="41">
        <f t="shared" si="2"/>
        <v>7.4505805969238281E-9</v>
      </c>
      <c r="AJ46" s="17">
        <f t="shared" si="5"/>
        <v>82</v>
      </c>
      <c r="AK46" s="17">
        <f t="shared" si="4"/>
        <v>6604</v>
      </c>
    </row>
    <row r="47" spans="1:37" x14ac:dyDescent="0.25">
      <c r="A47" s="28">
        <f t="shared" si="3"/>
        <v>113</v>
      </c>
      <c r="B47" s="29">
        <f>'Question 2a_1'!F47</f>
        <v>7.4505805969238281E-9</v>
      </c>
      <c r="C47" s="30">
        <f>'Question 2a_2'!F47</f>
        <v>13</v>
      </c>
      <c r="D47" s="31">
        <f t="shared" si="6"/>
        <v>13.000000007450581</v>
      </c>
      <c r="E47" s="40">
        <f t="shared" si="7"/>
        <v>13</v>
      </c>
      <c r="F47" s="41">
        <f t="shared" si="2"/>
        <v>7.4505805969238281E-9</v>
      </c>
      <c r="AJ47" s="17">
        <f t="shared" si="5"/>
        <v>84</v>
      </c>
      <c r="AK47" s="17">
        <f t="shared" si="4"/>
        <v>6936</v>
      </c>
    </row>
    <row r="48" spans="1:37" x14ac:dyDescent="0.25">
      <c r="A48" s="28">
        <f t="shared" si="3"/>
        <v>114</v>
      </c>
      <c r="B48" s="29">
        <f>'Question 2a_1'!F48</f>
        <v>0</v>
      </c>
      <c r="C48" s="30">
        <f>'Question 2a_2'!F48</f>
        <v>14</v>
      </c>
      <c r="D48" s="31">
        <f t="shared" si="6"/>
        <v>14</v>
      </c>
      <c r="E48" s="40">
        <f t="shared" si="7"/>
        <v>14</v>
      </c>
      <c r="F48" s="41">
        <f t="shared" si="2"/>
        <v>0</v>
      </c>
      <c r="AJ48" s="17">
        <f t="shared" si="5"/>
        <v>86</v>
      </c>
      <c r="AK48" s="17">
        <f t="shared" si="4"/>
        <v>7276</v>
      </c>
    </row>
    <row r="49" spans="1:37" x14ac:dyDescent="0.25">
      <c r="A49" s="28">
        <f t="shared" si="3"/>
        <v>115</v>
      </c>
      <c r="B49" s="29">
        <f>'Question 2a_1'!F49</f>
        <v>0</v>
      </c>
      <c r="C49" s="30">
        <f>'Question 2a_2'!F49</f>
        <v>15</v>
      </c>
      <c r="D49" s="31">
        <f t="shared" si="6"/>
        <v>15</v>
      </c>
      <c r="E49" s="40">
        <f t="shared" si="7"/>
        <v>15</v>
      </c>
      <c r="F49" s="41">
        <f t="shared" si="2"/>
        <v>0</v>
      </c>
      <c r="AJ49" s="17">
        <f t="shared" si="5"/>
        <v>88</v>
      </c>
      <c r="AK49" s="17">
        <f t="shared" si="4"/>
        <v>7624</v>
      </c>
    </row>
    <row r="50" spans="1:37" x14ac:dyDescent="0.25">
      <c r="A50" s="28">
        <f t="shared" si="3"/>
        <v>116</v>
      </c>
      <c r="B50" s="29">
        <f>'Question 2a_1'!F50</f>
        <v>0</v>
      </c>
      <c r="C50" s="30">
        <f>'Question 2a_2'!F50</f>
        <v>16</v>
      </c>
      <c r="D50" s="31">
        <f t="shared" si="6"/>
        <v>16</v>
      </c>
      <c r="E50" s="40">
        <f t="shared" si="7"/>
        <v>16</v>
      </c>
      <c r="F50" s="41">
        <f t="shared" si="2"/>
        <v>0</v>
      </c>
      <c r="AJ50" s="17">
        <f t="shared" si="5"/>
        <v>90</v>
      </c>
      <c r="AK50" s="17">
        <f t="shared" si="4"/>
        <v>7980</v>
      </c>
    </row>
    <row r="51" spans="1:37" x14ac:dyDescent="0.25">
      <c r="A51" s="28">
        <f t="shared" si="3"/>
        <v>117</v>
      </c>
      <c r="B51" s="29">
        <f>'Question 2a_1'!F51</f>
        <v>0</v>
      </c>
      <c r="C51" s="30">
        <f>'Question 2a_2'!F51</f>
        <v>17</v>
      </c>
      <c r="D51" s="31">
        <f t="shared" si="6"/>
        <v>17</v>
      </c>
      <c r="E51" s="40">
        <f t="shared" si="7"/>
        <v>17</v>
      </c>
      <c r="F51" s="41">
        <f t="shared" si="2"/>
        <v>0</v>
      </c>
      <c r="AJ51" s="17">
        <f t="shared" si="5"/>
        <v>92</v>
      </c>
      <c r="AK51" s="17">
        <f t="shared" si="4"/>
        <v>8344</v>
      </c>
    </row>
    <row r="52" spans="1:37" x14ac:dyDescent="0.25">
      <c r="A52" s="28">
        <f t="shared" si="3"/>
        <v>118</v>
      </c>
      <c r="B52" s="29">
        <f>'Question 2a_1'!F52</f>
        <v>0</v>
      </c>
      <c r="C52" s="30">
        <f>'Question 2a_2'!F52</f>
        <v>18</v>
      </c>
      <c r="D52" s="31">
        <f t="shared" si="6"/>
        <v>18</v>
      </c>
      <c r="E52" s="40">
        <f t="shared" si="7"/>
        <v>18</v>
      </c>
      <c r="F52" s="41">
        <f t="shared" si="2"/>
        <v>0</v>
      </c>
      <c r="AJ52" s="17">
        <f t="shared" si="5"/>
        <v>94</v>
      </c>
      <c r="AK52" s="17">
        <f t="shared" si="4"/>
        <v>8716</v>
      </c>
    </row>
    <row r="53" spans="1:37" x14ac:dyDescent="0.25">
      <c r="A53" s="28">
        <f t="shared" si="3"/>
        <v>119</v>
      </c>
      <c r="B53" s="29">
        <f>'Question 2a_1'!F53</f>
        <v>0</v>
      </c>
      <c r="C53" s="30">
        <f>'Question 2a_2'!F53</f>
        <v>19</v>
      </c>
      <c r="D53" s="31">
        <f t="shared" si="6"/>
        <v>19</v>
      </c>
      <c r="E53" s="40">
        <f t="shared" si="7"/>
        <v>19</v>
      </c>
      <c r="F53" s="41">
        <f t="shared" si="2"/>
        <v>0</v>
      </c>
      <c r="AJ53" s="17">
        <f t="shared" si="5"/>
        <v>96</v>
      </c>
      <c r="AK53" s="17">
        <f t="shared" si="4"/>
        <v>9096</v>
      </c>
    </row>
    <row r="54" spans="1:37" x14ac:dyDescent="0.25">
      <c r="A54" s="28">
        <f t="shared" si="3"/>
        <v>120</v>
      </c>
      <c r="B54" s="29">
        <f>'Question 2a_1'!F54</f>
        <v>0</v>
      </c>
      <c r="C54" s="30">
        <f>'Question 2a_2'!F54</f>
        <v>20</v>
      </c>
      <c r="D54" s="31">
        <f t="shared" si="6"/>
        <v>20</v>
      </c>
      <c r="E54" s="40">
        <f t="shared" si="7"/>
        <v>20</v>
      </c>
      <c r="F54" s="41">
        <f t="shared" si="2"/>
        <v>0</v>
      </c>
      <c r="AJ54" s="17">
        <f t="shared" si="5"/>
        <v>98</v>
      </c>
      <c r="AK54" s="17">
        <f t="shared" si="4"/>
        <v>9484</v>
      </c>
    </row>
    <row r="55" spans="1:37" x14ac:dyDescent="0.25">
      <c r="A55" s="28">
        <f t="shared" si="3"/>
        <v>121</v>
      </c>
      <c r="B55" s="29">
        <f>'Question 2a_1'!F55</f>
        <v>0</v>
      </c>
      <c r="C55" s="30">
        <f>'Question 2a_2'!F55</f>
        <v>-6.6938810050487518E-10</v>
      </c>
      <c r="D55" s="31">
        <f t="shared" si="6"/>
        <v>-6.6938810050487518E-10</v>
      </c>
      <c r="E55" s="40">
        <f t="shared" si="7"/>
        <v>0</v>
      </c>
      <c r="F55" s="41">
        <f t="shared" si="2"/>
        <v>-6.6938810050487518E-10</v>
      </c>
      <c r="AJ55" s="17">
        <f t="shared" si="5"/>
        <v>100</v>
      </c>
      <c r="AK55" s="17">
        <f t="shared" si="4"/>
        <v>9880</v>
      </c>
    </row>
    <row r="56" spans="1:37" x14ac:dyDescent="0.25">
      <c r="A56" s="28">
        <f t="shared" si="3"/>
        <v>122</v>
      </c>
      <c r="B56" s="29">
        <f>'Question 2a_1'!F56</f>
        <v>0</v>
      </c>
      <c r="C56" s="30">
        <f>'Question 2a_2'!F56</f>
        <v>-6.4028427004814148E-10</v>
      </c>
      <c r="D56" s="31">
        <f t="shared" si="6"/>
        <v>-6.4028427004814148E-10</v>
      </c>
      <c r="E56" s="40">
        <f t="shared" si="7"/>
        <v>0</v>
      </c>
      <c r="F56" s="41">
        <f t="shared" si="2"/>
        <v>-6.4028427004814148E-10</v>
      </c>
      <c r="AJ56" s="17">
        <f t="shared" si="5"/>
        <v>102</v>
      </c>
      <c r="AK56" s="17">
        <f t="shared" si="4"/>
        <v>10284</v>
      </c>
    </row>
    <row r="57" spans="1:37" x14ac:dyDescent="0.25">
      <c r="A57" s="28">
        <f t="shared" si="3"/>
        <v>123</v>
      </c>
      <c r="B57" s="29">
        <f>'Question 2a_1'!F57</f>
        <v>0</v>
      </c>
      <c r="C57" s="30">
        <f>'Question 2a_2'!F57</f>
        <v>0</v>
      </c>
      <c r="D57" s="31">
        <f t="shared" si="6"/>
        <v>0</v>
      </c>
      <c r="E57" s="40">
        <f t="shared" si="7"/>
        <v>0</v>
      </c>
      <c r="F57" s="41">
        <f t="shared" si="2"/>
        <v>0</v>
      </c>
      <c r="AJ57" s="17">
        <f t="shared" si="5"/>
        <v>104</v>
      </c>
      <c r="AK57" s="17">
        <f t="shared" si="4"/>
        <v>10696</v>
      </c>
    </row>
    <row r="58" spans="1:37" x14ac:dyDescent="0.25">
      <c r="A58" s="28">
        <f t="shared" si="3"/>
        <v>124</v>
      </c>
      <c r="B58" s="29">
        <f>'Question 2a_1'!F58</f>
        <v>0</v>
      </c>
      <c r="C58" s="30">
        <f>'Question 2a_2'!F58</f>
        <v>0</v>
      </c>
      <c r="D58" s="31">
        <f t="shared" si="6"/>
        <v>0</v>
      </c>
      <c r="E58" s="40">
        <f t="shared" si="7"/>
        <v>0</v>
      </c>
      <c r="F58" s="41">
        <f t="shared" si="2"/>
        <v>0</v>
      </c>
      <c r="AJ58" s="17">
        <f t="shared" si="5"/>
        <v>106</v>
      </c>
      <c r="AK58" s="17">
        <f t="shared" si="4"/>
        <v>11116</v>
      </c>
    </row>
    <row r="59" spans="1:37" x14ac:dyDescent="0.25">
      <c r="A59" s="28">
        <f t="shared" si="3"/>
        <v>125</v>
      </c>
      <c r="B59" s="29">
        <f>'Question 2a_1'!F59</f>
        <v>0</v>
      </c>
      <c r="C59" s="30">
        <f>'Question 2a_2'!F59</f>
        <v>0</v>
      </c>
      <c r="D59" s="31">
        <f t="shared" si="6"/>
        <v>0</v>
      </c>
      <c r="E59" s="40">
        <f t="shared" si="7"/>
        <v>0</v>
      </c>
      <c r="F59" s="41">
        <f t="shared" si="2"/>
        <v>0</v>
      </c>
      <c r="AJ59" s="17">
        <f t="shared" si="5"/>
        <v>108</v>
      </c>
      <c r="AK59" s="17">
        <f t="shared" si="4"/>
        <v>11544</v>
      </c>
    </row>
    <row r="60" spans="1:37" x14ac:dyDescent="0.25">
      <c r="A60" s="28">
        <f t="shared" si="3"/>
        <v>126</v>
      </c>
      <c r="B60" s="29">
        <f>'Question 2a_1'!F60</f>
        <v>0</v>
      </c>
      <c r="C60" s="30">
        <f>'Question 2a_2'!F60</f>
        <v>0</v>
      </c>
      <c r="D60" s="31">
        <f t="shared" si="6"/>
        <v>0</v>
      </c>
      <c r="E60" s="40">
        <f t="shared" si="7"/>
        <v>0</v>
      </c>
      <c r="F60" s="41">
        <f t="shared" si="2"/>
        <v>0</v>
      </c>
      <c r="AJ60" s="17">
        <f t="shared" si="5"/>
        <v>110</v>
      </c>
      <c r="AK60" s="17">
        <f t="shared" si="4"/>
        <v>11980</v>
      </c>
    </row>
    <row r="61" spans="1:37" x14ac:dyDescent="0.25">
      <c r="A61" s="28">
        <f t="shared" si="3"/>
        <v>127</v>
      </c>
      <c r="B61" s="29">
        <f>'Question 2a_1'!F61</f>
        <v>0</v>
      </c>
      <c r="C61" s="30">
        <f>'Question 2a_2'!F61</f>
        <v>0</v>
      </c>
      <c r="D61" s="31">
        <f t="shared" si="6"/>
        <v>0</v>
      </c>
      <c r="E61" s="40">
        <f t="shared" si="7"/>
        <v>0</v>
      </c>
      <c r="F61" s="41">
        <f t="shared" si="2"/>
        <v>0</v>
      </c>
      <c r="AJ61" s="17">
        <f t="shared" si="5"/>
        <v>112</v>
      </c>
      <c r="AK61" s="17">
        <f t="shared" si="4"/>
        <v>12424</v>
      </c>
    </row>
    <row r="62" spans="1:37" x14ac:dyDescent="0.25">
      <c r="A62" s="28">
        <f t="shared" si="3"/>
        <v>128</v>
      </c>
      <c r="B62" s="29">
        <f>'Question 2a_1'!F62</f>
        <v>0</v>
      </c>
      <c r="C62" s="30">
        <f>'Question 2a_2'!F62</f>
        <v>0</v>
      </c>
      <c r="D62" s="31">
        <f t="shared" si="6"/>
        <v>0</v>
      </c>
      <c r="E62" s="40">
        <f t="shared" si="7"/>
        <v>0</v>
      </c>
      <c r="F62" s="41">
        <f t="shared" si="2"/>
        <v>0</v>
      </c>
      <c r="AJ62" s="17">
        <f t="shared" si="5"/>
        <v>114</v>
      </c>
      <c r="AK62" s="17">
        <f t="shared" si="4"/>
        <v>12876</v>
      </c>
    </row>
    <row r="63" spans="1:37" x14ac:dyDescent="0.25">
      <c r="A63" s="28">
        <f t="shared" si="3"/>
        <v>129</v>
      </c>
      <c r="B63" s="29">
        <f>'Question 2a_1'!F63</f>
        <v>0</v>
      </c>
      <c r="C63" s="30">
        <f>'Question 2a_2'!F63</f>
        <v>0</v>
      </c>
      <c r="D63" s="31">
        <f t="shared" si="6"/>
        <v>0</v>
      </c>
      <c r="E63" s="40">
        <f t="shared" si="7"/>
        <v>0</v>
      </c>
      <c r="F63" s="41">
        <f t="shared" si="2"/>
        <v>0</v>
      </c>
      <c r="AJ63" s="17">
        <f t="shared" si="5"/>
        <v>116</v>
      </c>
      <c r="AK63" s="17">
        <f t="shared" si="4"/>
        <v>13336</v>
      </c>
    </row>
    <row r="64" spans="1:37" x14ac:dyDescent="0.25">
      <c r="A64" s="28">
        <f t="shared" si="3"/>
        <v>130</v>
      </c>
      <c r="B64" s="29">
        <f>'Question 2a_1'!F64</f>
        <v>0</v>
      </c>
      <c r="C64" s="30">
        <f>'Question 2a_2'!F64</f>
        <v>0</v>
      </c>
      <c r="D64" s="31">
        <f t="shared" si="6"/>
        <v>0</v>
      </c>
      <c r="E64" s="40">
        <f t="shared" si="7"/>
        <v>0</v>
      </c>
      <c r="F64" s="41">
        <f t="shared" si="2"/>
        <v>0</v>
      </c>
      <c r="AJ64" s="17">
        <f t="shared" si="5"/>
        <v>118</v>
      </c>
      <c r="AK64" s="17">
        <f t="shared" si="4"/>
        <v>13804</v>
      </c>
    </row>
    <row r="65" spans="1:37" x14ac:dyDescent="0.25">
      <c r="A65" s="28">
        <f t="shared" si="3"/>
        <v>131</v>
      </c>
      <c r="B65" s="29">
        <f>'Question 2a_1'!F65</f>
        <v>0</v>
      </c>
      <c r="C65" s="30">
        <f>'Question 2a_2'!F65</f>
        <v>0</v>
      </c>
      <c r="D65" s="31">
        <f t="shared" si="6"/>
        <v>0</v>
      </c>
      <c r="E65" s="40">
        <f t="shared" si="7"/>
        <v>0</v>
      </c>
      <c r="F65" s="41">
        <f t="shared" si="2"/>
        <v>0</v>
      </c>
      <c r="AJ65" s="17">
        <f t="shared" si="5"/>
        <v>120</v>
      </c>
      <c r="AK65" s="17">
        <f t="shared" si="4"/>
        <v>14280</v>
      </c>
    </row>
    <row r="66" spans="1:37" x14ac:dyDescent="0.25">
      <c r="A66" s="28">
        <f t="shared" si="3"/>
        <v>132</v>
      </c>
      <c r="B66" s="29">
        <f>'Question 2a_1'!F66</f>
        <v>0</v>
      </c>
      <c r="C66" s="30">
        <f>'Question 2a_2'!F66</f>
        <v>0</v>
      </c>
      <c r="D66" s="31">
        <f t="shared" si="6"/>
        <v>0</v>
      </c>
      <c r="E66" s="40">
        <f t="shared" si="7"/>
        <v>0</v>
      </c>
      <c r="F66" s="41">
        <f t="shared" si="2"/>
        <v>0</v>
      </c>
      <c r="AJ66" s="17">
        <f t="shared" si="5"/>
        <v>122</v>
      </c>
      <c r="AK66" s="17">
        <f t="shared" si="4"/>
        <v>14764</v>
      </c>
    </row>
    <row r="67" spans="1:37" x14ac:dyDescent="0.25">
      <c r="A67" s="28">
        <f t="shared" si="3"/>
        <v>133</v>
      </c>
      <c r="B67" s="29">
        <f>'Question 2a_1'!F67</f>
        <v>0</v>
      </c>
      <c r="C67" s="30">
        <f>'Question 2a_2'!F67</f>
        <v>0</v>
      </c>
      <c r="D67" s="31">
        <f t="shared" si="6"/>
        <v>0</v>
      </c>
      <c r="E67" s="40">
        <f t="shared" si="7"/>
        <v>0</v>
      </c>
      <c r="F67" s="41">
        <f t="shared" si="2"/>
        <v>0</v>
      </c>
      <c r="AJ67" s="17">
        <f t="shared" si="5"/>
        <v>124</v>
      </c>
      <c r="AK67" s="17">
        <f t="shared" si="4"/>
        <v>15256</v>
      </c>
    </row>
    <row r="68" spans="1:37" x14ac:dyDescent="0.25">
      <c r="A68" s="28">
        <f t="shared" si="3"/>
        <v>134</v>
      </c>
      <c r="B68" s="29">
        <f>'Question 2a_1'!F68</f>
        <v>0</v>
      </c>
      <c r="C68" s="30">
        <f>'Question 2a_2'!F68</f>
        <v>0</v>
      </c>
      <c r="D68" s="31">
        <f t="shared" ref="D68:D99" si="8">SUM(B68:C68)</f>
        <v>0</v>
      </c>
      <c r="E68" s="40">
        <f t="shared" ref="E68:E104" si="9">IF(A68&lt;=$I$18,0,IF(A68&lt;=$I$19,$I$19-A68,IF(A68&lt;=$I$20,A68-$I$19,0)))</f>
        <v>0</v>
      </c>
      <c r="F68" s="41">
        <f t="shared" si="2"/>
        <v>0</v>
      </c>
      <c r="AJ68" s="17">
        <f t="shared" si="5"/>
        <v>126</v>
      </c>
      <c r="AK68" s="17">
        <f t="shared" si="4"/>
        <v>15756</v>
      </c>
    </row>
    <row r="69" spans="1:37" x14ac:dyDescent="0.25">
      <c r="A69" s="28">
        <f t="shared" si="3"/>
        <v>135</v>
      </c>
      <c r="B69" s="29">
        <f>'Question 2a_1'!F69</f>
        <v>0</v>
      </c>
      <c r="C69" s="30">
        <f>'Question 2a_2'!F69</f>
        <v>0</v>
      </c>
      <c r="D69" s="31">
        <f t="shared" si="8"/>
        <v>0</v>
      </c>
      <c r="E69" s="40">
        <f t="shared" si="9"/>
        <v>0</v>
      </c>
      <c r="F69" s="41">
        <f t="shared" ref="F69:F104" si="10">D69-E69</f>
        <v>0</v>
      </c>
      <c r="AJ69" s="17">
        <f t="shared" si="5"/>
        <v>128</v>
      </c>
      <c r="AK69" s="17">
        <f t="shared" si="4"/>
        <v>16264</v>
      </c>
    </row>
    <row r="70" spans="1:37" x14ac:dyDescent="0.25">
      <c r="A70" s="28">
        <f t="shared" ref="A70:A104" si="11">A69+1</f>
        <v>136</v>
      </c>
      <c r="B70" s="29">
        <f>'Question 2a_1'!F70</f>
        <v>0</v>
      </c>
      <c r="C70" s="30">
        <f>'Question 2a_2'!F70</f>
        <v>0</v>
      </c>
      <c r="D70" s="31">
        <f t="shared" si="8"/>
        <v>0</v>
      </c>
      <c r="E70" s="40">
        <f t="shared" si="9"/>
        <v>0</v>
      </c>
      <c r="F70" s="41">
        <f t="shared" si="10"/>
        <v>0</v>
      </c>
      <c r="AJ70" s="17">
        <f t="shared" si="5"/>
        <v>130</v>
      </c>
      <c r="AK70" s="17">
        <f t="shared" ref="AK70:AK128" si="12">MAX(0,(AJ70^2)-120)</f>
        <v>16780</v>
      </c>
    </row>
    <row r="71" spans="1:37" x14ac:dyDescent="0.25">
      <c r="A71" s="28">
        <f t="shared" si="11"/>
        <v>137</v>
      </c>
      <c r="B71" s="29">
        <f>'Question 2a_1'!F71</f>
        <v>0</v>
      </c>
      <c r="C71" s="30">
        <f>'Question 2a_2'!F71</f>
        <v>0</v>
      </c>
      <c r="D71" s="31">
        <f t="shared" si="8"/>
        <v>0</v>
      </c>
      <c r="E71" s="40">
        <f t="shared" si="9"/>
        <v>0</v>
      </c>
      <c r="F71" s="41">
        <f t="shared" si="10"/>
        <v>0</v>
      </c>
      <c r="AJ71" s="17">
        <f t="shared" ref="AJ71:AJ128" si="13">AJ70+2</f>
        <v>132</v>
      </c>
      <c r="AK71" s="17">
        <f t="shared" si="12"/>
        <v>17304</v>
      </c>
    </row>
    <row r="72" spans="1:37" x14ac:dyDescent="0.25">
      <c r="A72" s="28">
        <f t="shared" si="11"/>
        <v>138</v>
      </c>
      <c r="B72" s="29">
        <f>'Question 2a_1'!F72</f>
        <v>0</v>
      </c>
      <c r="C72" s="30">
        <f>'Question 2a_2'!F72</f>
        <v>0</v>
      </c>
      <c r="D72" s="31">
        <f t="shared" si="8"/>
        <v>0</v>
      </c>
      <c r="E72" s="40">
        <f t="shared" si="9"/>
        <v>0</v>
      </c>
      <c r="F72" s="41">
        <f t="shared" si="10"/>
        <v>0</v>
      </c>
      <c r="AJ72" s="17">
        <f t="shared" si="13"/>
        <v>134</v>
      </c>
      <c r="AK72" s="17">
        <f t="shared" si="12"/>
        <v>17836</v>
      </c>
    </row>
    <row r="73" spans="1:37" x14ac:dyDescent="0.25">
      <c r="A73" s="28">
        <f t="shared" si="11"/>
        <v>139</v>
      </c>
      <c r="B73" s="29">
        <f>'Question 2a_1'!F73</f>
        <v>0</v>
      </c>
      <c r="C73" s="30">
        <f>'Question 2a_2'!F73</f>
        <v>0</v>
      </c>
      <c r="D73" s="31">
        <f t="shared" si="8"/>
        <v>0</v>
      </c>
      <c r="E73" s="40">
        <f t="shared" si="9"/>
        <v>0</v>
      </c>
      <c r="F73" s="41">
        <f t="shared" si="10"/>
        <v>0</v>
      </c>
      <c r="AJ73" s="17">
        <f t="shared" si="13"/>
        <v>136</v>
      </c>
      <c r="AK73" s="17">
        <f t="shared" si="12"/>
        <v>18376</v>
      </c>
    </row>
    <row r="74" spans="1:37" x14ac:dyDescent="0.25">
      <c r="A74" s="28">
        <f t="shared" si="11"/>
        <v>140</v>
      </c>
      <c r="B74" s="29">
        <f>'Question 2a_1'!F74</f>
        <v>0</v>
      </c>
      <c r="C74" s="30">
        <f>'Question 2a_2'!F74</f>
        <v>0</v>
      </c>
      <c r="D74" s="31">
        <f t="shared" si="8"/>
        <v>0</v>
      </c>
      <c r="E74" s="40">
        <f t="shared" si="9"/>
        <v>0</v>
      </c>
      <c r="F74" s="41">
        <f t="shared" si="10"/>
        <v>0</v>
      </c>
      <c r="AJ74" s="17">
        <f t="shared" si="13"/>
        <v>138</v>
      </c>
      <c r="AK74" s="17">
        <f t="shared" si="12"/>
        <v>18924</v>
      </c>
    </row>
    <row r="75" spans="1:37" x14ac:dyDescent="0.25">
      <c r="A75" s="28">
        <f t="shared" si="11"/>
        <v>141</v>
      </c>
      <c r="B75" s="29">
        <f>'Question 2a_1'!F75</f>
        <v>0</v>
      </c>
      <c r="C75" s="30">
        <f>'Question 2a_2'!F75</f>
        <v>0</v>
      </c>
      <c r="D75" s="31">
        <f t="shared" si="8"/>
        <v>0</v>
      </c>
      <c r="E75" s="40">
        <f t="shared" si="9"/>
        <v>0</v>
      </c>
      <c r="F75" s="41">
        <f t="shared" si="10"/>
        <v>0</v>
      </c>
      <c r="AJ75" s="17">
        <f t="shared" si="13"/>
        <v>140</v>
      </c>
      <c r="AK75" s="17">
        <f t="shared" si="12"/>
        <v>19480</v>
      </c>
    </row>
    <row r="76" spans="1:37" x14ac:dyDescent="0.25">
      <c r="A76" s="28">
        <f t="shared" si="11"/>
        <v>142</v>
      </c>
      <c r="B76" s="29">
        <f>'Question 2a_1'!F76</f>
        <v>0</v>
      </c>
      <c r="C76" s="30">
        <f>'Question 2a_2'!F76</f>
        <v>0</v>
      </c>
      <c r="D76" s="31">
        <f t="shared" si="8"/>
        <v>0</v>
      </c>
      <c r="E76" s="40">
        <f t="shared" si="9"/>
        <v>0</v>
      </c>
      <c r="F76" s="41">
        <f t="shared" si="10"/>
        <v>0</v>
      </c>
      <c r="AJ76" s="17">
        <f t="shared" si="13"/>
        <v>142</v>
      </c>
      <c r="AK76" s="17">
        <f t="shared" si="12"/>
        <v>20044</v>
      </c>
    </row>
    <row r="77" spans="1:37" x14ac:dyDescent="0.25">
      <c r="A77" s="28">
        <f t="shared" si="11"/>
        <v>143</v>
      </c>
      <c r="B77" s="29">
        <f>'Question 2a_1'!F77</f>
        <v>0</v>
      </c>
      <c r="C77" s="30">
        <f>'Question 2a_2'!F77</f>
        <v>0</v>
      </c>
      <c r="D77" s="31">
        <f t="shared" si="8"/>
        <v>0</v>
      </c>
      <c r="E77" s="40">
        <f t="shared" si="9"/>
        <v>0</v>
      </c>
      <c r="F77" s="41">
        <f t="shared" si="10"/>
        <v>0</v>
      </c>
      <c r="AJ77" s="17">
        <f t="shared" si="13"/>
        <v>144</v>
      </c>
      <c r="AK77" s="17">
        <f t="shared" si="12"/>
        <v>20616</v>
      </c>
    </row>
    <row r="78" spans="1:37" x14ac:dyDescent="0.25">
      <c r="A78" s="28">
        <f t="shared" si="11"/>
        <v>144</v>
      </c>
      <c r="B78" s="29">
        <f>'Question 2a_1'!F78</f>
        <v>0</v>
      </c>
      <c r="C78" s="30">
        <f>'Question 2a_2'!F78</f>
        <v>0</v>
      </c>
      <c r="D78" s="31">
        <f t="shared" si="8"/>
        <v>0</v>
      </c>
      <c r="E78" s="40">
        <f t="shared" si="9"/>
        <v>0</v>
      </c>
      <c r="F78" s="41">
        <f t="shared" si="10"/>
        <v>0</v>
      </c>
      <c r="AJ78" s="17">
        <f t="shared" si="13"/>
        <v>146</v>
      </c>
      <c r="AK78" s="17">
        <f t="shared" si="12"/>
        <v>21196</v>
      </c>
    </row>
    <row r="79" spans="1:37" x14ac:dyDescent="0.25">
      <c r="A79" s="28">
        <f t="shared" si="11"/>
        <v>145</v>
      </c>
      <c r="B79" s="29">
        <f>'Question 2a_1'!F79</f>
        <v>0</v>
      </c>
      <c r="C79" s="30">
        <f>'Question 2a_2'!F79</f>
        <v>0</v>
      </c>
      <c r="D79" s="31">
        <f t="shared" si="8"/>
        <v>0</v>
      </c>
      <c r="E79" s="40">
        <f t="shared" si="9"/>
        <v>0</v>
      </c>
      <c r="F79" s="41">
        <f t="shared" si="10"/>
        <v>0</v>
      </c>
      <c r="AJ79" s="17">
        <f t="shared" si="13"/>
        <v>148</v>
      </c>
      <c r="AK79" s="17">
        <f t="shared" si="12"/>
        <v>21784</v>
      </c>
    </row>
    <row r="80" spans="1:37" x14ac:dyDescent="0.25">
      <c r="A80" s="28">
        <f t="shared" si="11"/>
        <v>146</v>
      </c>
      <c r="B80" s="29">
        <f>'Question 2a_1'!F80</f>
        <v>0</v>
      </c>
      <c r="C80" s="30">
        <f>'Question 2a_2'!F80</f>
        <v>0</v>
      </c>
      <c r="D80" s="31">
        <f t="shared" si="8"/>
        <v>0</v>
      </c>
      <c r="E80" s="40">
        <f t="shared" si="9"/>
        <v>0</v>
      </c>
      <c r="F80" s="41">
        <f t="shared" si="10"/>
        <v>0</v>
      </c>
      <c r="AJ80" s="17">
        <f t="shared" si="13"/>
        <v>150</v>
      </c>
      <c r="AK80" s="17">
        <f t="shared" si="12"/>
        <v>22380</v>
      </c>
    </row>
    <row r="81" spans="1:37" x14ac:dyDescent="0.25">
      <c r="A81" s="28">
        <f t="shared" si="11"/>
        <v>147</v>
      </c>
      <c r="B81" s="29">
        <f>'Question 2a_1'!F81</f>
        <v>0</v>
      </c>
      <c r="C81" s="30">
        <f>'Question 2a_2'!F81</f>
        <v>0</v>
      </c>
      <c r="D81" s="31">
        <f t="shared" si="8"/>
        <v>0</v>
      </c>
      <c r="E81" s="40">
        <f t="shared" si="9"/>
        <v>0</v>
      </c>
      <c r="F81" s="41">
        <f t="shared" si="10"/>
        <v>0</v>
      </c>
      <c r="AJ81" s="17">
        <f t="shared" si="13"/>
        <v>152</v>
      </c>
      <c r="AK81" s="17">
        <f t="shared" si="12"/>
        <v>22984</v>
      </c>
    </row>
    <row r="82" spans="1:37" x14ac:dyDescent="0.25">
      <c r="A82" s="28">
        <f t="shared" si="11"/>
        <v>148</v>
      </c>
      <c r="B82" s="29">
        <f>'Question 2a_1'!F82</f>
        <v>0</v>
      </c>
      <c r="C82" s="30">
        <f>'Question 2a_2'!F82</f>
        <v>0</v>
      </c>
      <c r="D82" s="31">
        <f t="shared" si="8"/>
        <v>0</v>
      </c>
      <c r="E82" s="40">
        <f t="shared" si="9"/>
        <v>0</v>
      </c>
      <c r="F82" s="41">
        <f t="shared" si="10"/>
        <v>0</v>
      </c>
      <c r="AJ82" s="17">
        <f t="shared" si="13"/>
        <v>154</v>
      </c>
      <c r="AK82" s="17">
        <f t="shared" si="12"/>
        <v>23596</v>
      </c>
    </row>
    <row r="83" spans="1:37" x14ac:dyDescent="0.25">
      <c r="A83" s="28">
        <f t="shared" si="11"/>
        <v>149</v>
      </c>
      <c r="B83" s="29">
        <f>'Question 2a_1'!F83</f>
        <v>0</v>
      </c>
      <c r="C83" s="30">
        <f>'Question 2a_2'!F83</f>
        <v>0</v>
      </c>
      <c r="D83" s="31">
        <f t="shared" si="8"/>
        <v>0</v>
      </c>
      <c r="E83" s="40">
        <f t="shared" si="9"/>
        <v>0</v>
      </c>
      <c r="F83" s="41">
        <f t="shared" si="10"/>
        <v>0</v>
      </c>
      <c r="AJ83" s="17">
        <f t="shared" si="13"/>
        <v>156</v>
      </c>
      <c r="AK83" s="17">
        <f t="shared" si="12"/>
        <v>24216</v>
      </c>
    </row>
    <row r="84" spans="1:37" x14ac:dyDescent="0.25">
      <c r="A84" s="28">
        <f t="shared" si="11"/>
        <v>150</v>
      </c>
      <c r="B84" s="29">
        <f>'Question 2a_1'!F84</f>
        <v>0</v>
      </c>
      <c r="C84" s="30">
        <f>'Question 2a_2'!F84</f>
        <v>0</v>
      </c>
      <c r="D84" s="31">
        <f t="shared" si="8"/>
        <v>0</v>
      </c>
      <c r="E84" s="40">
        <f t="shared" si="9"/>
        <v>0</v>
      </c>
      <c r="F84" s="41">
        <f t="shared" si="10"/>
        <v>0</v>
      </c>
      <c r="AJ84" s="17">
        <f t="shared" si="13"/>
        <v>158</v>
      </c>
      <c r="AK84" s="17">
        <f t="shared" si="12"/>
        <v>24844</v>
      </c>
    </row>
    <row r="85" spans="1:37" x14ac:dyDescent="0.25">
      <c r="A85" s="28">
        <f t="shared" si="11"/>
        <v>151</v>
      </c>
      <c r="B85" s="29">
        <f>'Question 2a_1'!F85</f>
        <v>0</v>
      </c>
      <c r="C85" s="30">
        <f>'Question 2a_2'!F85</f>
        <v>0</v>
      </c>
      <c r="D85" s="31">
        <f t="shared" si="8"/>
        <v>0</v>
      </c>
      <c r="E85" s="40">
        <f t="shared" si="9"/>
        <v>0</v>
      </c>
      <c r="F85" s="41">
        <f t="shared" si="10"/>
        <v>0</v>
      </c>
      <c r="AJ85" s="17">
        <f t="shared" si="13"/>
        <v>160</v>
      </c>
      <c r="AK85" s="17">
        <f t="shared" si="12"/>
        <v>25480</v>
      </c>
    </row>
    <row r="86" spans="1:37" x14ac:dyDescent="0.25">
      <c r="A86" s="28">
        <f t="shared" si="11"/>
        <v>152</v>
      </c>
      <c r="B86" s="29">
        <f>'Question 2a_1'!F86</f>
        <v>0</v>
      </c>
      <c r="C86" s="30">
        <f>'Question 2a_2'!F86</f>
        <v>0</v>
      </c>
      <c r="D86" s="31">
        <f t="shared" si="8"/>
        <v>0</v>
      </c>
      <c r="E86" s="40">
        <f t="shared" si="9"/>
        <v>0</v>
      </c>
      <c r="F86" s="41">
        <f t="shared" si="10"/>
        <v>0</v>
      </c>
      <c r="AJ86" s="17">
        <f t="shared" si="13"/>
        <v>162</v>
      </c>
      <c r="AK86" s="17">
        <f t="shared" si="12"/>
        <v>26124</v>
      </c>
    </row>
    <row r="87" spans="1:37" x14ac:dyDescent="0.25">
      <c r="A87" s="28">
        <f t="shared" si="11"/>
        <v>153</v>
      </c>
      <c r="B87" s="29">
        <f>'Question 2a_1'!F87</f>
        <v>0</v>
      </c>
      <c r="C87" s="30">
        <f>'Question 2a_2'!F87</f>
        <v>0</v>
      </c>
      <c r="D87" s="31">
        <f t="shared" si="8"/>
        <v>0</v>
      </c>
      <c r="E87" s="40">
        <f t="shared" si="9"/>
        <v>0</v>
      </c>
      <c r="F87" s="41">
        <f t="shared" si="10"/>
        <v>0</v>
      </c>
      <c r="AJ87" s="17">
        <f t="shared" si="13"/>
        <v>164</v>
      </c>
      <c r="AK87" s="17">
        <f t="shared" si="12"/>
        <v>26776</v>
      </c>
    </row>
    <row r="88" spans="1:37" x14ac:dyDescent="0.25">
      <c r="A88" s="28">
        <f t="shared" si="11"/>
        <v>154</v>
      </c>
      <c r="B88" s="29">
        <f>'Question 2a_1'!F88</f>
        <v>0</v>
      </c>
      <c r="C88" s="30">
        <f>'Question 2a_2'!F88</f>
        <v>0</v>
      </c>
      <c r="D88" s="31">
        <f t="shared" si="8"/>
        <v>0</v>
      </c>
      <c r="E88" s="40">
        <f t="shared" si="9"/>
        <v>0</v>
      </c>
      <c r="F88" s="41">
        <f t="shared" si="10"/>
        <v>0</v>
      </c>
      <c r="AJ88" s="17">
        <f t="shared" si="13"/>
        <v>166</v>
      </c>
      <c r="AK88" s="17">
        <f t="shared" si="12"/>
        <v>27436</v>
      </c>
    </row>
    <row r="89" spans="1:37" x14ac:dyDescent="0.25">
      <c r="A89" s="28">
        <f t="shared" si="11"/>
        <v>155</v>
      </c>
      <c r="B89" s="29">
        <f>'Question 2a_1'!F89</f>
        <v>0</v>
      </c>
      <c r="C89" s="30">
        <f>'Question 2a_2'!F89</f>
        <v>0</v>
      </c>
      <c r="D89" s="31">
        <f t="shared" si="8"/>
        <v>0</v>
      </c>
      <c r="E89" s="40">
        <f t="shared" si="9"/>
        <v>0</v>
      </c>
      <c r="F89" s="41">
        <f t="shared" si="10"/>
        <v>0</v>
      </c>
      <c r="AJ89" s="17">
        <f t="shared" si="13"/>
        <v>168</v>
      </c>
      <c r="AK89" s="17">
        <f t="shared" si="12"/>
        <v>28104</v>
      </c>
    </row>
    <row r="90" spans="1:37" x14ac:dyDescent="0.25">
      <c r="A90" s="28">
        <f t="shared" si="11"/>
        <v>156</v>
      </c>
      <c r="B90" s="29">
        <f>'Question 2a_1'!F90</f>
        <v>0</v>
      </c>
      <c r="C90" s="30">
        <f>'Question 2a_2'!F90</f>
        <v>0</v>
      </c>
      <c r="D90" s="31">
        <f t="shared" si="8"/>
        <v>0</v>
      </c>
      <c r="E90" s="40">
        <f t="shared" si="9"/>
        <v>0</v>
      </c>
      <c r="F90" s="41">
        <f t="shared" si="10"/>
        <v>0</v>
      </c>
      <c r="AJ90" s="17">
        <f t="shared" si="13"/>
        <v>170</v>
      </c>
      <c r="AK90" s="17">
        <f t="shared" si="12"/>
        <v>28780</v>
      </c>
    </row>
    <row r="91" spans="1:37" x14ac:dyDescent="0.25">
      <c r="A91" s="28">
        <f t="shared" si="11"/>
        <v>157</v>
      </c>
      <c r="B91" s="29">
        <f>'Question 2a_1'!F91</f>
        <v>0</v>
      </c>
      <c r="C91" s="30">
        <f>'Question 2a_2'!F91</f>
        <v>0</v>
      </c>
      <c r="D91" s="31">
        <f t="shared" si="8"/>
        <v>0</v>
      </c>
      <c r="E91" s="40">
        <f t="shared" si="9"/>
        <v>0</v>
      </c>
      <c r="F91" s="41">
        <f t="shared" si="10"/>
        <v>0</v>
      </c>
      <c r="AJ91" s="17">
        <f t="shared" si="13"/>
        <v>172</v>
      </c>
      <c r="AK91" s="17">
        <f t="shared" si="12"/>
        <v>29464</v>
      </c>
    </row>
    <row r="92" spans="1:37" x14ac:dyDescent="0.25">
      <c r="A92" s="28">
        <f t="shared" si="11"/>
        <v>158</v>
      </c>
      <c r="B92" s="29">
        <f>'Question 2a_1'!F92</f>
        <v>0</v>
      </c>
      <c r="C92" s="30">
        <f>'Question 2a_2'!F92</f>
        <v>0</v>
      </c>
      <c r="D92" s="31">
        <f t="shared" si="8"/>
        <v>0</v>
      </c>
      <c r="E92" s="40">
        <f t="shared" si="9"/>
        <v>0</v>
      </c>
      <c r="F92" s="41">
        <f t="shared" si="10"/>
        <v>0</v>
      </c>
      <c r="AJ92" s="17">
        <f t="shared" si="13"/>
        <v>174</v>
      </c>
      <c r="AK92" s="17">
        <f t="shared" si="12"/>
        <v>30156</v>
      </c>
    </row>
    <row r="93" spans="1:37" x14ac:dyDescent="0.25">
      <c r="A93" s="28">
        <f t="shared" si="11"/>
        <v>159</v>
      </c>
      <c r="B93" s="29">
        <f>'Question 2a_1'!F93</f>
        <v>0</v>
      </c>
      <c r="C93" s="30">
        <f>'Question 2a_2'!F93</f>
        <v>0</v>
      </c>
      <c r="D93" s="31">
        <f t="shared" si="8"/>
        <v>0</v>
      </c>
      <c r="E93" s="40">
        <f t="shared" si="9"/>
        <v>0</v>
      </c>
      <c r="F93" s="41">
        <f t="shared" si="10"/>
        <v>0</v>
      </c>
      <c r="AJ93" s="17">
        <f t="shared" si="13"/>
        <v>176</v>
      </c>
      <c r="AK93" s="17">
        <f t="shared" si="12"/>
        <v>30856</v>
      </c>
    </row>
    <row r="94" spans="1:37" x14ac:dyDescent="0.25">
      <c r="A94" s="28">
        <f t="shared" si="11"/>
        <v>160</v>
      </c>
      <c r="B94" s="29">
        <f>'Question 2a_1'!F94</f>
        <v>0</v>
      </c>
      <c r="C94" s="30">
        <f>'Question 2a_2'!F94</f>
        <v>0</v>
      </c>
      <c r="D94" s="31">
        <f t="shared" si="8"/>
        <v>0</v>
      </c>
      <c r="E94" s="40">
        <f t="shared" si="9"/>
        <v>0</v>
      </c>
      <c r="F94" s="41">
        <f t="shared" si="10"/>
        <v>0</v>
      </c>
      <c r="AJ94" s="17">
        <f t="shared" si="13"/>
        <v>178</v>
      </c>
      <c r="AK94" s="17">
        <f t="shared" si="12"/>
        <v>31564</v>
      </c>
    </row>
    <row r="95" spans="1:37" x14ac:dyDescent="0.25">
      <c r="A95" s="28">
        <f t="shared" si="11"/>
        <v>161</v>
      </c>
      <c r="B95" s="29">
        <f>'Question 2a_1'!F95</f>
        <v>0</v>
      </c>
      <c r="C95" s="30">
        <f>'Question 2a_2'!F95</f>
        <v>0</v>
      </c>
      <c r="D95" s="31">
        <f t="shared" si="8"/>
        <v>0</v>
      </c>
      <c r="E95" s="40">
        <f t="shared" si="9"/>
        <v>0</v>
      </c>
      <c r="F95" s="41">
        <f t="shared" si="10"/>
        <v>0</v>
      </c>
      <c r="AJ95" s="17">
        <f t="shared" si="13"/>
        <v>180</v>
      </c>
      <c r="AK95" s="17">
        <f t="shared" si="12"/>
        <v>32280</v>
      </c>
    </row>
    <row r="96" spans="1:37" x14ac:dyDescent="0.25">
      <c r="A96" s="28">
        <f t="shared" si="11"/>
        <v>162</v>
      </c>
      <c r="B96" s="29">
        <f>'Question 2a_1'!F96</f>
        <v>0</v>
      </c>
      <c r="C96" s="30">
        <f>'Question 2a_2'!F96</f>
        <v>0</v>
      </c>
      <c r="D96" s="31">
        <f t="shared" si="8"/>
        <v>0</v>
      </c>
      <c r="E96" s="40">
        <f t="shared" si="9"/>
        <v>0</v>
      </c>
      <c r="F96" s="41">
        <f t="shared" si="10"/>
        <v>0</v>
      </c>
      <c r="AJ96" s="17">
        <f t="shared" si="13"/>
        <v>182</v>
      </c>
      <c r="AK96" s="17">
        <f t="shared" si="12"/>
        <v>33004</v>
      </c>
    </row>
    <row r="97" spans="1:37" x14ac:dyDescent="0.25">
      <c r="A97" s="28">
        <f t="shared" si="11"/>
        <v>163</v>
      </c>
      <c r="B97" s="29">
        <f>'Question 2a_1'!F97</f>
        <v>0</v>
      </c>
      <c r="C97" s="30">
        <f>'Question 2a_2'!F97</f>
        <v>0</v>
      </c>
      <c r="D97" s="31">
        <f t="shared" si="8"/>
        <v>0</v>
      </c>
      <c r="E97" s="40">
        <f t="shared" si="9"/>
        <v>0</v>
      </c>
      <c r="F97" s="41">
        <f t="shared" si="10"/>
        <v>0</v>
      </c>
      <c r="AJ97" s="17">
        <f t="shared" si="13"/>
        <v>184</v>
      </c>
      <c r="AK97" s="17">
        <f t="shared" si="12"/>
        <v>33736</v>
      </c>
    </row>
    <row r="98" spans="1:37" x14ac:dyDescent="0.25">
      <c r="A98" s="28">
        <f t="shared" si="11"/>
        <v>164</v>
      </c>
      <c r="B98" s="29">
        <f>'Question 2a_1'!F98</f>
        <v>0</v>
      </c>
      <c r="C98" s="30">
        <f>'Question 2a_2'!F98</f>
        <v>0</v>
      </c>
      <c r="D98" s="31">
        <f t="shared" si="8"/>
        <v>0</v>
      </c>
      <c r="E98" s="40">
        <f t="shared" si="9"/>
        <v>0</v>
      </c>
      <c r="F98" s="41">
        <f t="shared" si="10"/>
        <v>0</v>
      </c>
      <c r="AJ98" s="17">
        <f t="shared" si="13"/>
        <v>186</v>
      </c>
      <c r="AK98" s="17">
        <f t="shared" si="12"/>
        <v>34476</v>
      </c>
    </row>
    <row r="99" spans="1:37" x14ac:dyDescent="0.25">
      <c r="A99" s="28">
        <f t="shared" si="11"/>
        <v>165</v>
      </c>
      <c r="B99" s="29">
        <f>'Question 2a_1'!F99</f>
        <v>0</v>
      </c>
      <c r="C99" s="30">
        <f>'Question 2a_2'!F99</f>
        <v>0</v>
      </c>
      <c r="D99" s="31">
        <f t="shared" si="8"/>
        <v>0</v>
      </c>
      <c r="E99" s="40">
        <f t="shared" si="9"/>
        <v>0</v>
      </c>
      <c r="F99" s="41">
        <f t="shared" si="10"/>
        <v>0</v>
      </c>
      <c r="AJ99" s="17">
        <f t="shared" si="13"/>
        <v>188</v>
      </c>
      <c r="AK99" s="17">
        <f t="shared" si="12"/>
        <v>35224</v>
      </c>
    </row>
    <row r="100" spans="1:37" x14ac:dyDescent="0.25">
      <c r="A100" s="28">
        <f t="shared" si="11"/>
        <v>166</v>
      </c>
      <c r="B100" s="29">
        <f>'Question 2a_1'!F100</f>
        <v>0</v>
      </c>
      <c r="C100" s="30">
        <f>'Question 2a_2'!F100</f>
        <v>0</v>
      </c>
      <c r="D100" s="31">
        <f t="shared" ref="D100:D104" si="14">SUM(B100:C100)</f>
        <v>0</v>
      </c>
      <c r="E100" s="40">
        <f t="shared" si="9"/>
        <v>0</v>
      </c>
      <c r="F100" s="41">
        <f t="shared" si="10"/>
        <v>0</v>
      </c>
      <c r="AJ100" s="17">
        <f t="shared" si="13"/>
        <v>190</v>
      </c>
      <c r="AK100" s="17">
        <f t="shared" si="12"/>
        <v>35980</v>
      </c>
    </row>
    <row r="101" spans="1:37" x14ac:dyDescent="0.25">
      <c r="A101" s="28">
        <f t="shared" si="11"/>
        <v>167</v>
      </c>
      <c r="B101" s="29">
        <f>'Question 2a_1'!F101</f>
        <v>0</v>
      </c>
      <c r="C101" s="30">
        <f>'Question 2a_2'!F101</f>
        <v>0</v>
      </c>
      <c r="D101" s="31">
        <f t="shared" si="14"/>
        <v>0</v>
      </c>
      <c r="E101" s="40">
        <f t="shared" si="9"/>
        <v>0</v>
      </c>
      <c r="F101" s="41">
        <f t="shared" si="10"/>
        <v>0</v>
      </c>
      <c r="AJ101" s="17">
        <f t="shared" si="13"/>
        <v>192</v>
      </c>
      <c r="AK101" s="17">
        <f t="shared" si="12"/>
        <v>36744</v>
      </c>
    </row>
    <row r="102" spans="1:37" x14ac:dyDescent="0.25">
      <c r="A102" s="28">
        <f t="shared" si="11"/>
        <v>168</v>
      </c>
      <c r="B102" s="29">
        <f>'Question 2a_1'!F102</f>
        <v>0</v>
      </c>
      <c r="C102" s="30">
        <f>'Question 2a_2'!F102</f>
        <v>0</v>
      </c>
      <c r="D102" s="31">
        <f t="shared" si="14"/>
        <v>0</v>
      </c>
      <c r="E102" s="40">
        <f t="shared" si="9"/>
        <v>0</v>
      </c>
      <c r="F102" s="41">
        <f t="shared" si="10"/>
        <v>0</v>
      </c>
      <c r="AJ102" s="17">
        <f t="shared" si="13"/>
        <v>194</v>
      </c>
      <c r="AK102" s="17">
        <f t="shared" si="12"/>
        <v>37516</v>
      </c>
    </row>
    <row r="103" spans="1:37" x14ac:dyDescent="0.25">
      <c r="A103" s="28">
        <f t="shared" si="11"/>
        <v>169</v>
      </c>
      <c r="B103" s="29">
        <f>'Question 2a_1'!F103</f>
        <v>0</v>
      </c>
      <c r="C103" s="30">
        <f>'Question 2a_2'!F103</f>
        <v>0</v>
      </c>
      <c r="D103" s="31">
        <f t="shared" si="14"/>
        <v>0</v>
      </c>
      <c r="E103" s="40">
        <f t="shared" si="9"/>
        <v>0</v>
      </c>
      <c r="F103" s="41">
        <f t="shared" si="10"/>
        <v>0</v>
      </c>
      <c r="AJ103" s="17">
        <f t="shared" si="13"/>
        <v>196</v>
      </c>
      <c r="AK103" s="17">
        <f t="shared" si="12"/>
        <v>38296</v>
      </c>
    </row>
    <row r="104" spans="1:37" x14ac:dyDescent="0.25">
      <c r="A104" s="28">
        <f t="shared" si="11"/>
        <v>170</v>
      </c>
      <c r="B104" s="38">
        <f>'Question 2a_1'!F104</f>
        <v>0</v>
      </c>
      <c r="C104" s="32">
        <f>'Question 2a_2'!F104</f>
        <v>0</v>
      </c>
      <c r="D104" s="39">
        <f t="shared" si="14"/>
        <v>0</v>
      </c>
      <c r="E104" s="40">
        <f t="shared" si="9"/>
        <v>0</v>
      </c>
      <c r="F104" s="41">
        <f t="shared" si="10"/>
        <v>0</v>
      </c>
      <c r="AJ104" s="17">
        <f t="shared" si="13"/>
        <v>198</v>
      </c>
      <c r="AK104" s="17">
        <f t="shared" si="12"/>
        <v>39084</v>
      </c>
    </row>
    <row r="105" spans="1:37" x14ac:dyDescent="0.25">
      <c r="A105" s="28"/>
      <c r="AJ105" s="17">
        <f t="shared" si="13"/>
        <v>200</v>
      </c>
      <c r="AK105" s="17">
        <f t="shared" si="12"/>
        <v>39880</v>
      </c>
    </row>
    <row r="106" spans="1:37" x14ac:dyDescent="0.25">
      <c r="A106" s="28"/>
      <c r="AJ106" s="17">
        <f t="shared" si="13"/>
        <v>202</v>
      </c>
      <c r="AK106" s="17">
        <f t="shared" si="12"/>
        <v>40684</v>
      </c>
    </row>
    <row r="107" spans="1:37" x14ac:dyDescent="0.25">
      <c r="A107" s="28"/>
      <c r="AJ107" s="17">
        <f t="shared" si="13"/>
        <v>204</v>
      </c>
      <c r="AK107" s="17">
        <f t="shared" si="12"/>
        <v>41496</v>
      </c>
    </row>
    <row r="108" spans="1:37" x14ac:dyDescent="0.25">
      <c r="A108" s="28"/>
      <c r="AJ108" s="17">
        <f t="shared" si="13"/>
        <v>206</v>
      </c>
      <c r="AK108" s="17">
        <f t="shared" si="12"/>
        <v>42316</v>
      </c>
    </row>
    <row r="109" spans="1:37" x14ac:dyDescent="0.25">
      <c r="A109" s="28"/>
      <c r="AJ109" s="17">
        <f t="shared" si="13"/>
        <v>208</v>
      </c>
      <c r="AK109" s="17">
        <f t="shared" si="12"/>
        <v>43144</v>
      </c>
    </row>
    <row r="110" spans="1:37" x14ac:dyDescent="0.25">
      <c r="A110" s="28"/>
      <c r="AJ110" s="17">
        <f t="shared" si="13"/>
        <v>210</v>
      </c>
      <c r="AK110" s="17">
        <f t="shared" si="12"/>
        <v>43980</v>
      </c>
    </row>
    <row r="111" spans="1:37" x14ac:dyDescent="0.25">
      <c r="A111" s="28"/>
      <c r="AJ111" s="17">
        <f t="shared" si="13"/>
        <v>212</v>
      </c>
      <c r="AK111" s="17">
        <f t="shared" si="12"/>
        <v>44824</v>
      </c>
    </row>
    <row r="112" spans="1:37" x14ac:dyDescent="0.25">
      <c r="A112" s="28"/>
      <c r="AJ112" s="17">
        <f t="shared" si="13"/>
        <v>214</v>
      </c>
      <c r="AK112" s="17">
        <f t="shared" si="12"/>
        <v>45676</v>
      </c>
    </row>
    <row r="113" spans="1:37" x14ac:dyDescent="0.25">
      <c r="A113" s="28"/>
      <c r="AJ113" s="17">
        <f t="shared" si="13"/>
        <v>216</v>
      </c>
      <c r="AK113" s="17">
        <f t="shared" si="12"/>
        <v>46536</v>
      </c>
    </row>
    <row r="114" spans="1:37" x14ac:dyDescent="0.25">
      <c r="A114" s="28"/>
      <c r="AJ114" s="17">
        <f t="shared" si="13"/>
        <v>218</v>
      </c>
      <c r="AK114" s="17">
        <f t="shared" si="12"/>
        <v>47404</v>
      </c>
    </row>
    <row r="115" spans="1:37" x14ac:dyDescent="0.25">
      <c r="A115" s="28"/>
      <c r="AJ115" s="17">
        <f t="shared" si="13"/>
        <v>220</v>
      </c>
      <c r="AK115" s="17">
        <f t="shared" si="12"/>
        <v>48280</v>
      </c>
    </row>
    <row r="116" spans="1:37" x14ac:dyDescent="0.25">
      <c r="A116" s="28"/>
      <c r="AJ116" s="17">
        <f t="shared" si="13"/>
        <v>222</v>
      </c>
      <c r="AK116" s="17">
        <f t="shared" si="12"/>
        <v>49164</v>
      </c>
    </row>
    <row r="117" spans="1:37" x14ac:dyDescent="0.25">
      <c r="A117" s="28"/>
      <c r="AJ117" s="17">
        <f t="shared" si="13"/>
        <v>224</v>
      </c>
      <c r="AK117" s="17">
        <f t="shared" si="12"/>
        <v>50056</v>
      </c>
    </row>
    <row r="118" spans="1:37" x14ac:dyDescent="0.25">
      <c r="A118" s="28"/>
      <c r="AJ118" s="17">
        <f t="shared" si="13"/>
        <v>226</v>
      </c>
      <c r="AK118" s="17">
        <f t="shared" si="12"/>
        <v>50956</v>
      </c>
    </row>
    <row r="119" spans="1:37" x14ac:dyDescent="0.25">
      <c r="A119" s="28"/>
      <c r="AJ119" s="17">
        <f t="shared" si="13"/>
        <v>228</v>
      </c>
      <c r="AK119" s="17">
        <f t="shared" si="12"/>
        <v>51864</v>
      </c>
    </row>
    <row r="120" spans="1:37" x14ac:dyDescent="0.25">
      <c r="A120" s="28"/>
      <c r="AJ120" s="17">
        <f t="shared" si="13"/>
        <v>230</v>
      </c>
      <c r="AK120" s="17">
        <f t="shared" si="12"/>
        <v>52780</v>
      </c>
    </row>
    <row r="121" spans="1:37" x14ac:dyDescent="0.25">
      <c r="A121" s="28"/>
      <c r="AJ121" s="17">
        <f t="shared" si="13"/>
        <v>232</v>
      </c>
      <c r="AK121" s="17">
        <f t="shared" si="12"/>
        <v>53704</v>
      </c>
    </row>
    <row r="122" spans="1:37" x14ac:dyDescent="0.25">
      <c r="A122" s="28"/>
      <c r="AJ122" s="17">
        <f t="shared" si="13"/>
        <v>234</v>
      </c>
      <c r="AK122" s="17">
        <f t="shared" si="12"/>
        <v>54636</v>
      </c>
    </row>
    <row r="123" spans="1:37" x14ac:dyDescent="0.25">
      <c r="A123" s="28"/>
      <c r="AJ123" s="17">
        <f t="shared" si="13"/>
        <v>236</v>
      </c>
      <c r="AK123" s="17">
        <f t="shared" si="12"/>
        <v>55576</v>
      </c>
    </row>
    <row r="124" spans="1:37" x14ac:dyDescent="0.25">
      <c r="A124" s="28"/>
      <c r="AJ124" s="17">
        <f t="shared" si="13"/>
        <v>238</v>
      </c>
      <c r="AK124" s="17">
        <f t="shared" si="12"/>
        <v>56524</v>
      </c>
    </row>
    <row r="125" spans="1:37" x14ac:dyDescent="0.25">
      <c r="A125" s="28"/>
      <c r="AJ125" s="17">
        <f t="shared" si="13"/>
        <v>240</v>
      </c>
      <c r="AK125" s="17">
        <f t="shared" si="12"/>
        <v>57480</v>
      </c>
    </row>
    <row r="126" spans="1:37" x14ac:dyDescent="0.25">
      <c r="A126" s="28"/>
      <c r="AJ126" s="17">
        <f t="shared" si="13"/>
        <v>242</v>
      </c>
      <c r="AK126" s="17">
        <f t="shared" si="12"/>
        <v>58444</v>
      </c>
    </row>
    <row r="127" spans="1:37" x14ac:dyDescent="0.25">
      <c r="A127" s="28"/>
      <c r="AJ127" s="17">
        <f t="shared" si="13"/>
        <v>244</v>
      </c>
      <c r="AK127" s="17">
        <f t="shared" si="12"/>
        <v>59416</v>
      </c>
    </row>
    <row r="128" spans="1:37" x14ac:dyDescent="0.25">
      <c r="A128" s="28"/>
      <c r="AJ128" s="17">
        <f t="shared" si="13"/>
        <v>246</v>
      </c>
      <c r="AK128" s="17">
        <f t="shared" si="12"/>
        <v>60396</v>
      </c>
    </row>
    <row r="129" spans="1:1" x14ac:dyDescent="0.25">
      <c r="A129" s="28"/>
    </row>
    <row r="130" spans="1:1" x14ac:dyDescent="0.25">
      <c r="A130" s="28"/>
    </row>
    <row r="131" spans="1:1" x14ac:dyDescent="0.25">
      <c r="A131" s="28"/>
    </row>
    <row r="132" spans="1:1" x14ac:dyDescent="0.25">
      <c r="A132" s="28"/>
    </row>
  </sheetData>
  <mergeCells count="16">
    <mergeCell ref="A1:A2"/>
    <mergeCell ref="B1:B2"/>
    <mergeCell ref="C1:C2"/>
    <mergeCell ref="D1:D3"/>
    <mergeCell ref="B3:C3"/>
    <mergeCell ref="H17:I17"/>
    <mergeCell ref="E1:E3"/>
    <mergeCell ref="F1:F3"/>
    <mergeCell ref="G1:H1"/>
    <mergeCell ref="G2:G10"/>
    <mergeCell ref="I2:L2"/>
    <mergeCell ref="I6:L6"/>
    <mergeCell ref="I7:L7"/>
    <mergeCell ref="I8:L8"/>
    <mergeCell ref="I9:L9"/>
    <mergeCell ref="I10:L10"/>
  </mergeCells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B33B-602C-4EE9-9838-7D9A5896C1E4}">
  <dimension ref="A1:AE138"/>
  <sheetViews>
    <sheetView workbookViewId="0">
      <selection activeCell="A14" sqref="A14"/>
    </sheetView>
  </sheetViews>
  <sheetFormatPr defaultColWidth="9.1796875" defaultRowHeight="12.5" x14ac:dyDescent="0.25"/>
  <cols>
    <col min="1" max="1" width="10.81640625" style="56" customWidth="1"/>
    <col min="2" max="2" width="10.1796875" style="56" bestFit="1" customWidth="1"/>
    <col min="3" max="5" width="9.1796875" style="56"/>
    <col min="6" max="6" width="12.26953125" style="56" bestFit="1" customWidth="1"/>
    <col min="7" max="14" width="9.1796875" style="56"/>
    <col min="15" max="15" width="11.81640625" style="56" bestFit="1" customWidth="1"/>
    <col min="16" max="16" width="12.453125" style="56" bestFit="1" customWidth="1"/>
    <col min="17" max="26" width="9.1796875" style="56"/>
    <col min="27" max="31" width="10.36328125" style="56" bestFit="1" customWidth="1"/>
    <col min="32" max="16384" width="9.1796875" style="56"/>
  </cols>
  <sheetData>
    <row r="1" spans="1:31" x14ac:dyDescent="0.25">
      <c r="A1" s="54" t="s">
        <v>0</v>
      </c>
      <c r="B1" s="55">
        <v>110</v>
      </c>
      <c r="E1" s="190" t="s">
        <v>87</v>
      </c>
      <c r="F1" s="33" t="s">
        <v>88</v>
      </c>
      <c r="G1" s="18">
        <f>B8/B9</f>
        <v>3.3333333333333333E-2</v>
      </c>
      <c r="H1" s="17"/>
    </row>
    <row r="2" spans="1:31" x14ac:dyDescent="0.25">
      <c r="A2" s="57" t="s">
        <v>126</v>
      </c>
      <c r="B2" s="58">
        <v>80</v>
      </c>
      <c r="E2" s="191"/>
      <c r="F2" s="33" t="s">
        <v>89</v>
      </c>
      <c r="G2" s="18">
        <f>EXP(B5*SQRT(G1))</f>
        <v>1.0563000210241065</v>
      </c>
      <c r="H2" s="17"/>
      <c r="O2" s="17"/>
      <c r="P2" s="17"/>
    </row>
    <row r="3" spans="1:31" x14ac:dyDescent="0.25">
      <c r="A3" s="57" t="s">
        <v>127</v>
      </c>
      <c r="B3" s="58">
        <v>100</v>
      </c>
      <c r="E3" s="191"/>
      <c r="F3" s="33" t="s">
        <v>90</v>
      </c>
      <c r="G3" s="18">
        <f>1/G2</f>
        <v>0.94670072905089753</v>
      </c>
      <c r="H3" s="17"/>
      <c r="O3" s="17"/>
      <c r="P3" s="17"/>
    </row>
    <row r="4" spans="1:31" x14ac:dyDescent="0.25">
      <c r="A4" s="57" t="s">
        <v>128</v>
      </c>
      <c r="B4" s="58">
        <v>120</v>
      </c>
      <c r="E4" s="191"/>
      <c r="F4" s="60" t="s">
        <v>91</v>
      </c>
      <c r="G4" s="61">
        <f>(EXP((B6-B7)*G1)-G3)/(G2-G3)</f>
        <v>0.49543906843015184</v>
      </c>
      <c r="H4" s="17"/>
      <c r="O4" s="17"/>
      <c r="P4" s="17"/>
    </row>
    <row r="5" spans="1:31" x14ac:dyDescent="0.25">
      <c r="A5" s="57" t="s">
        <v>60</v>
      </c>
      <c r="B5" s="59">
        <v>0.3</v>
      </c>
      <c r="E5" s="192"/>
      <c r="F5" s="61" t="s">
        <v>93</v>
      </c>
      <c r="G5" s="62">
        <f>A108</f>
        <v>2.8657106429584029</v>
      </c>
      <c r="O5" s="17"/>
      <c r="P5" s="53"/>
    </row>
    <row r="6" spans="1:31" x14ac:dyDescent="0.25">
      <c r="A6" s="57" t="s">
        <v>92</v>
      </c>
      <c r="B6" s="59">
        <v>0.04</v>
      </c>
      <c r="E6" s="63"/>
      <c r="F6" s="17"/>
      <c r="G6" s="25"/>
      <c r="O6" s="17"/>
      <c r="P6" s="64"/>
    </row>
    <row r="7" spans="1:31" x14ac:dyDescent="0.25">
      <c r="A7" s="57" t="s">
        <v>94</v>
      </c>
      <c r="B7" s="59">
        <v>0.01</v>
      </c>
      <c r="E7" s="63"/>
      <c r="F7" s="25"/>
      <c r="G7" s="25"/>
    </row>
    <row r="8" spans="1:31" x14ac:dyDescent="0.25">
      <c r="A8" s="57" t="s">
        <v>95</v>
      </c>
      <c r="B8" s="65">
        <v>1</v>
      </c>
    </row>
    <row r="9" spans="1:31" x14ac:dyDescent="0.25">
      <c r="A9" s="66" t="s">
        <v>96</v>
      </c>
      <c r="B9" s="67">
        <v>30</v>
      </c>
    </row>
    <row r="10" spans="1:31" x14ac:dyDescent="0.25">
      <c r="A10" s="68"/>
      <c r="B10" s="68"/>
    </row>
    <row r="11" spans="1:31" x14ac:dyDescent="0.25">
      <c r="A11" s="68"/>
      <c r="B11" s="68"/>
    </row>
    <row r="12" spans="1:31" x14ac:dyDescent="0.25">
      <c r="A12" s="68"/>
      <c r="B12" s="68"/>
    </row>
    <row r="13" spans="1:31" x14ac:dyDescent="0.25">
      <c r="A13" s="68"/>
      <c r="B13" s="68"/>
    </row>
    <row r="14" spans="1:31" x14ac:dyDescent="0.25">
      <c r="A14" s="69">
        <v>0</v>
      </c>
      <c r="B14" s="70" t="s">
        <v>88</v>
      </c>
      <c r="C14" s="70" t="s">
        <v>97</v>
      </c>
      <c r="D14" s="70" t="s">
        <v>98</v>
      </c>
      <c r="E14" s="70" t="s">
        <v>99</v>
      </c>
      <c r="F14" s="70" t="s">
        <v>100</v>
      </c>
      <c r="G14" s="70" t="s">
        <v>101</v>
      </c>
      <c r="H14" s="70" t="s">
        <v>102</v>
      </c>
      <c r="I14" s="70" t="s">
        <v>103</v>
      </c>
      <c r="J14" s="70" t="s">
        <v>104</v>
      </c>
      <c r="K14" s="70" t="s">
        <v>105</v>
      </c>
      <c r="L14" s="70" t="s">
        <v>106</v>
      </c>
      <c r="M14" s="70" t="s">
        <v>107</v>
      </c>
      <c r="N14" s="70" t="s">
        <v>108</v>
      </c>
      <c r="O14" s="70" t="s">
        <v>109</v>
      </c>
      <c r="P14" s="70" t="s">
        <v>110</v>
      </c>
      <c r="Q14" s="70" t="s">
        <v>111</v>
      </c>
      <c r="R14" s="70" t="s">
        <v>112</v>
      </c>
      <c r="S14" s="70" t="s">
        <v>113</v>
      </c>
      <c r="T14" s="70" t="s">
        <v>114</v>
      </c>
      <c r="U14" s="70" t="s">
        <v>115</v>
      </c>
      <c r="V14" s="70" t="s">
        <v>116</v>
      </c>
      <c r="W14" s="70" t="s">
        <v>117</v>
      </c>
      <c r="X14" s="70" t="s">
        <v>118</v>
      </c>
      <c r="Y14" s="70" t="s">
        <v>119</v>
      </c>
      <c r="Z14" s="70" t="s">
        <v>120</v>
      </c>
      <c r="AA14" s="70" t="s">
        <v>121</v>
      </c>
      <c r="AB14" s="70" t="s">
        <v>122</v>
      </c>
      <c r="AC14" s="70" t="s">
        <v>123</v>
      </c>
      <c r="AD14" s="70" t="s">
        <v>124</v>
      </c>
      <c r="AE14" s="70" t="s">
        <v>125</v>
      </c>
    </row>
    <row r="15" spans="1:31" x14ac:dyDescent="0.2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2">
        <f>$G$2*AD16</f>
        <v>568.86778214335436</v>
      </c>
    </row>
    <row r="16" spans="1:31" x14ac:dyDescent="0.25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2">
        <f>$G$2*AC17</f>
        <v>538.54754408868075</v>
      </c>
      <c r="AE16" s="71"/>
    </row>
    <row r="17" spans="1:3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2">
        <f>$G$2*AB18</f>
        <v>509.84335261732446</v>
      </c>
      <c r="AD17" s="71"/>
      <c r="AE17" s="72">
        <f>$G$2*AD18</f>
        <v>509.84335261732446</v>
      </c>
    </row>
    <row r="18" spans="1:31" x14ac:dyDescent="0.25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2">
        <f>$G$2*AA19</f>
        <v>482.66907362457488</v>
      </c>
      <c r="AC18" s="71"/>
      <c r="AD18" s="72">
        <f>$G$2*AC19</f>
        <v>482.66907362457488</v>
      </c>
      <c r="AE18" s="71"/>
    </row>
    <row r="19" spans="1:31" x14ac:dyDescent="0.2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>
        <f>$G$2*Z20</f>
        <v>456.94316389070639</v>
      </c>
      <c r="AB19" s="71"/>
      <c r="AC19" s="72">
        <f>$G$2*AB20</f>
        <v>456.94316389070639</v>
      </c>
      <c r="AD19" s="71"/>
      <c r="AE19" s="72">
        <f>$G$2*AD20</f>
        <v>456.94316389070639</v>
      </c>
    </row>
    <row r="20" spans="1:31" x14ac:dyDescent="0.25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2">
        <f>$G$2*Y21</f>
        <v>432.58842639015552</v>
      </c>
      <c r="AA20" s="71"/>
      <c r="AB20" s="72">
        <f>$G$2*AA21</f>
        <v>432.58842639015552</v>
      </c>
      <c r="AC20" s="71"/>
      <c r="AD20" s="72">
        <f>$G$2*AC21</f>
        <v>432.58842639015552</v>
      </c>
      <c r="AE20" s="71"/>
    </row>
    <row r="21" spans="1:31" x14ac:dyDescent="0.2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2">
        <f>$G$2*X22</f>
        <v>409.53177864254076</v>
      </c>
      <c r="Z21" s="71"/>
      <c r="AA21" s="72">
        <f>$G$2*Z22</f>
        <v>409.53177864254076</v>
      </c>
      <c r="AB21" s="71"/>
      <c r="AC21" s="72">
        <f>$G$2*AB22</f>
        <v>409.53177864254076</v>
      </c>
      <c r="AD21" s="71"/>
      <c r="AE21" s="72">
        <f>$G$2*AD22</f>
        <v>409.53177864254076</v>
      </c>
    </row>
    <row r="22" spans="1:31" x14ac:dyDescent="0.2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2">
        <f>$G$2*W23</f>
        <v>387.70403341040412</v>
      </c>
      <c r="Y22" s="71"/>
      <c r="Z22" s="72">
        <f>$G$2*Y23</f>
        <v>387.70403341040412</v>
      </c>
      <c r="AA22" s="71"/>
      <c r="AB22" s="72">
        <f>$G$2*AA23</f>
        <v>387.70403341040412</v>
      </c>
      <c r="AC22" s="71"/>
      <c r="AD22" s="72">
        <f>$G$2*AC23</f>
        <v>387.70403341040412</v>
      </c>
      <c r="AE22" s="71"/>
    </row>
    <row r="23" spans="1:31" x14ac:dyDescent="0.25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2">
        <f>$G$2*V24</f>
        <v>367.03969108560312</v>
      </c>
      <c r="X23" s="71"/>
      <c r="Y23" s="72">
        <f>$G$2*X24</f>
        <v>367.03969108560312</v>
      </c>
      <c r="Z23" s="71"/>
      <c r="AA23" s="72">
        <f>$G$2*Z24</f>
        <v>367.03969108560312</v>
      </c>
      <c r="AB23" s="71"/>
      <c r="AC23" s="72">
        <f>$G$2*AB24</f>
        <v>367.03969108560312</v>
      </c>
      <c r="AD23" s="71"/>
      <c r="AE23" s="72">
        <f>$G$2*AD24</f>
        <v>367.03969108560312</v>
      </c>
    </row>
    <row r="24" spans="1:31" x14ac:dyDescent="0.2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2">
        <f>$G$2*U25</f>
        <v>347.47674314135668</v>
      </c>
      <c r="W24" s="71"/>
      <c r="X24" s="72">
        <f>$G$2*W25</f>
        <v>347.47674314135668</v>
      </c>
      <c r="Y24" s="71"/>
      <c r="Z24" s="72">
        <f>$G$2*Y25</f>
        <v>347.47674314135668</v>
      </c>
      <c r="AA24" s="71"/>
      <c r="AB24" s="72">
        <f>$G$2*AA25</f>
        <v>347.47674314135668</v>
      </c>
      <c r="AC24" s="71"/>
      <c r="AD24" s="72">
        <f>$G$2*AC25</f>
        <v>347.47674314135668</v>
      </c>
      <c r="AE24" s="71"/>
    </row>
    <row r="25" spans="1:31" x14ac:dyDescent="0.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2">
        <f>$G$2*T26</f>
        <v>328.95648606015385</v>
      </c>
      <c r="V25" s="71"/>
      <c r="W25" s="72">
        <f>$G$2*V26</f>
        <v>328.95648606015385</v>
      </c>
      <c r="X25" s="71"/>
      <c r="Y25" s="72">
        <f>$G$2*X26</f>
        <v>328.95648606015385</v>
      </c>
      <c r="Z25" s="71"/>
      <c r="AA25" s="72">
        <f>$G$2*Z26</f>
        <v>328.95648606015385</v>
      </c>
      <c r="AB25" s="71"/>
      <c r="AC25" s="72">
        <f>$G$2*AB26</f>
        <v>328.95648606015385</v>
      </c>
      <c r="AD25" s="71"/>
      <c r="AE25" s="72">
        <f>$G$2*AD26</f>
        <v>328.95648606015385</v>
      </c>
    </row>
    <row r="26" spans="1:31" x14ac:dyDescent="0.25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2">
        <f>$G$2*S27</f>
        <v>311.42334517916908</v>
      </c>
      <c r="U26" s="71"/>
      <c r="V26" s="72">
        <f>$G$2*U27</f>
        <v>311.42334517916908</v>
      </c>
      <c r="W26" s="71"/>
      <c r="X26" s="72">
        <f>$G$2*W27</f>
        <v>311.42334517916908</v>
      </c>
      <c r="Y26" s="71"/>
      <c r="Z26" s="72">
        <f>$G$2*Y27</f>
        <v>311.42334517916908</v>
      </c>
      <c r="AA26" s="71"/>
      <c r="AB26" s="72">
        <f>$G$2*AA27</f>
        <v>311.42334517916908</v>
      </c>
      <c r="AC26" s="71"/>
      <c r="AD26" s="72">
        <f>$G$2*AC27</f>
        <v>311.42334517916908</v>
      </c>
      <c r="AE26" s="71"/>
    </row>
    <row r="27" spans="1:31" x14ac:dyDescent="0.2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2">
        <f>$G$2*R28</f>
        <v>294.82470792458867</v>
      </c>
      <c r="T27" s="71"/>
      <c r="U27" s="72">
        <f>$G$2*T28</f>
        <v>294.82470792458867</v>
      </c>
      <c r="V27" s="71"/>
      <c r="W27" s="72">
        <f>$G$2*V28</f>
        <v>294.82470792458867</v>
      </c>
      <c r="X27" s="71"/>
      <c r="Y27" s="72">
        <f>$G$2*X28</f>
        <v>294.82470792458867</v>
      </c>
      <c r="Z27" s="71"/>
      <c r="AA27" s="72">
        <f>$G$2*Z28</f>
        <v>294.82470792458867</v>
      </c>
      <c r="AB27" s="71"/>
      <c r="AC27" s="72">
        <f>$G$2*AB28</f>
        <v>294.82470792458867</v>
      </c>
      <c r="AD27" s="71"/>
      <c r="AE27" s="72">
        <f>$G$2*AD28</f>
        <v>294.82470792458867</v>
      </c>
    </row>
    <row r="28" spans="1:31" x14ac:dyDescent="0.2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2">
        <f>$G$2*Q29</f>
        <v>279.11076593442601</v>
      </c>
      <c r="S28" s="71"/>
      <c r="T28" s="72">
        <f>$G$2*S29</f>
        <v>279.11076593442601</v>
      </c>
      <c r="U28" s="71"/>
      <c r="V28" s="72">
        <f>$G$2*U29</f>
        <v>279.11076593442601</v>
      </c>
      <c r="W28" s="71"/>
      <c r="X28" s="72">
        <f>$G$2*W29</f>
        <v>279.11076593442601</v>
      </c>
      <c r="Y28" s="71"/>
      <c r="Z28" s="72">
        <f>$G$2*Y29</f>
        <v>279.11076593442601</v>
      </c>
      <c r="AA28" s="71"/>
      <c r="AB28" s="72">
        <f>$G$2*AA29</f>
        <v>279.11076593442601</v>
      </c>
      <c r="AC28" s="71"/>
      <c r="AD28" s="72">
        <f>$G$2*AC29</f>
        <v>279.11076593442601</v>
      </c>
      <c r="AE28" s="71"/>
    </row>
    <row r="29" spans="1:31" x14ac:dyDescent="0.2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2">
        <f>$G$2*P30</f>
        <v>264.23436559607552</v>
      </c>
      <c r="R29" s="71"/>
      <c r="S29" s="72">
        <f>$G$2*R30</f>
        <v>264.23436559607552</v>
      </c>
      <c r="T29" s="71"/>
      <c r="U29" s="72">
        <f>$G$2*T30</f>
        <v>264.23436559607552</v>
      </c>
      <c r="V29" s="71"/>
      <c r="W29" s="72">
        <f>$G$2*V30</f>
        <v>264.23436559607552</v>
      </c>
      <c r="X29" s="71"/>
      <c r="Y29" s="72">
        <f>$G$2*X30</f>
        <v>264.23436559607552</v>
      </c>
      <c r="Z29" s="71"/>
      <c r="AA29" s="72">
        <f>$G$2*Z30</f>
        <v>264.23436559607552</v>
      </c>
      <c r="AB29" s="71"/>
      <c r="AC29" s="72">
        <f>$G$2*AB30</f>
        <v>264.23436559607552</v>
      </c>
      <c r="AD29" s="71"/>
      <c r="AE29" s="72">
        <f>$G$2*AD30</f>
        <v>264.23436559607552</v>
      </c>
    </row>
    <row r="30" spans="1:31" x14ac:dyDescent="0.2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2">
        <f>$G$2*O31</f>
        <v>250.15086655010612</v>
      </c>
      <c r="Q30" s="71"/>
      <c r="R30" s="72">
        <f>$G$2*Q31</f>
        <v>250.15086655010612</v>
      </c>
      <c r="S30" s="71"/>
      <c r="T30" s="72">
        <f>$G$2*S31</f>
        <v>250.15086655010612</v>
      </c>
      <c r="U30" s="71"/>
      <c r="V30" s="72">
        <f>$G$2*U31</f>
        <v>250.15086655010612</v>
      </c>
      <c r="W30" s="71"/>
      <c r="X30" s="72">
        <f>$G$2*W31</f>
        <v>250.15086655010612</v>
      </c>
      <c r="Y30" s="71"/>
      <c r="Z30" s="72">
        <f>$G$2*Y31</f>
        <v>250.15086655010612</v>
      </c>
      <c r="AA30" s="71"/>
      <c r="AB30" s="72">
        <f>$G$2*AA31</f>
        <v>250.15086655010612</v>
      </c>
      <c r="AC30" s="71"/>
      <c r="AD30" s="72">
        <f>$G$2*AC31</f>
        <v>250.15086655010612</v>
      </c>
      <c r="AE30" s="71"/>
    </row>
    <row r="31" spans="1:31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2">
        <f>$G$2*N32</f>
        <v>236.81800773569924</v>
      </c>
      <c r="P31" s="71"/>
      <c r="Q31" s="72">
        <f>$G$2*P32</f>
        <v>236.81800773569924</v>
      </c>
      <c r="R31" s="71"/>
      <c r="S31" s="72">
        <f>$G$2*R32</f>
        <v>236.81800773569924</v>
      </c>
      <c r="T31" s="71"/>
      <c r="U31" s="72">
        <f>$G$2*T32</f>
        <v>236.81800773569924</v>
      </c>
      <c r="V31" s="71"/>
      <c r="W31" s="72">
        <f>$G$2*V32</f>
        <v>236.81800773569924</v>
      </c>
      <c r="X31" s="71"/>
      <c r="Y31" s="72">
        <f>$G$2*X32</f>
        <v>236.81800773569924</v>
      </c>
      <c r="Z31" s="71"/>
      <c r="AA31" s="72">
        <f>$G$2*Z32</f>
        <v>236.81800773569924</v>
      </c>
      <c r="AB31" s="71"/>
      <c r="AC31" s="72">
        <f>$G$2*AB32</f>
        <v>236.81800773569924</v>
      </c>
      <c r="AD31" s="71"/>
      <c r="AE31" s="72">
        <f>$G$2*AD32</f>
        <v>236.81800773569924</v>
      </c>
    </row>
    <row r="32" spans="1:31" x14ac:dyDescent="0.2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2">
        <f>$G$2*M33</f>
        <v>224.19578057576757</v>
      </c>
      <c r="O32" s="71"/>
      <c r="P32" s="72">
        <f>$G$2*O33</f>
        <v>224.19578057576757</v>
      </c>
      <c r="Q32" s="71"/>
      <c r="R32" s="72">
        <f>$G$2*Q33</f>
        <v>224.19578057576757</v>
      </c>
      <c r="S32" s="71"/>
      <c r="T32" s="72">
        <f>$G$2*S33</f>
        <v>224.19578057576757</v>
      </c>
      <c r="U32" s="71"/>
      <c r="V32" s="72">
        <f>$G$2*U33</f>
        <v>224.19578057576757</v>
      </c>
      <c r="W32" s="71"/>
      <c r="X32" s="72">
        <f>$G$2*W33</f>
        <v>224.19578057576757</v>
      </c>
      <c r="Y32" s="71"/>
      <c r="Z32" s="72">
        <f>$G$2*Y33</f>
        <v>224.19578057576757</v>
      </c>
      <c r="AA32" s="71"/>
      <c r="AB32" s="72">
        <f>$G$2*AA33</f>
        <v>224.19578057576757</v>
      </c>
      <c r="AC32" s="71"/>
      <c r="AD32" s="72">
        <f>$G$2*AC33</f>
        <v>224.19578057576757</v>
      </c>
      <c r="AE32" s="71"/>
    </row>
    <row r="33" spans="1:31" x14ac:dyDescent="0.25">
      <c r="M33" s="72">
        <f>$G$2*L34</f>
        <v>212.24630892121422</v>
      </c>
      <c r="O33" s="72">
        <f>$G$2*N34</f>
        <v>212.24630892121422</v>
      </c>
      <c r="P33" s="71"/>
      <c r="Q33" s="72">
        <f>$G$2*P34</f>
        <v>212.24630892121422</v>
      </c>
      <c r="R33" s="71"/>
      <c r="S33" s="72">
        <f>$G$2*R34</f>
        <v>212.24630892121422</v>
      </c>
      <c r="T33" s="71"/>
      <c r="U33" s="72">
        <f>$G$2*T34</f>
        <v>212.24630892121422</v>
      </c>
      <c r="V33" s="71"/>
      <c r="W33" s="72">
        <f>$G$2*V34</f>
        <v>212.24630892121422</v>
      </c>
      <c r="X33" s="71"/>
      <c r="Y33" s="72">
        <f>$G$2*X34</f>
        <v>212.24630892121422</v>
      </c>
      <c r="Z33" s="71"/>
      <c r="AA33" s="72">
        <f>$G$2*Z34</f>
        <v>212.24630892121422</v>
      </c>
      <c r="AB33" s="71"/>
      <c r="AC33" s="72">
        <f>$G$2*AB34</f>
        <v>212.24630892121422</v>
      </c>
      <c r="AD33" s="71"/>
      <c r="AE33" s="72">
        <f>$G$2*AD34</f>
        <v>212.24630892121422</v>
      </c>
    </row>
    <row r="34" spans="1:31" x14ac:dyDescent="0.25">
      <c r="L34" s="72">
        <f>$G$2*K35</f>
        <v>200.93373539407551</v>
      </c>
      <c r="N34" s="72">
        <f>$G$2*M35</f>
        <v>200.93373539407551</v>
      </c>
      <c r="O34" s="71"/>
      <c r="P34" s="72">
        <f>$G$2*O35</f>
        <v>200.93373539407551</v>
      </c>
      <c r="Q34" s="71"/>
      <c r="R34" s="72">
        <f>$G$2*Q35</f>
        <v>200.93373539407551</v>
      </c>
      <c r="S34" s="71"/>
      <c r="T34" s="72">
        <f>$G$2*S35</f>
        <v>200.93373539407551</v>
      </c>
      <c r="U34" s="71"/>
      <c r="V34" s="72">
        <f>$G$2*U35</f>
        <v>200.93373539407551</v>
      </c>
      <c r="W34" s="71"/>
      <c r="X34" s="72">
        <f>$G$2*W35</f>
        <v>200.93373539407551</v>
      </c>
      <c r="Y34" s="71"/>
      <c r="Z34" s="72">
        <f>$G$2*Y35</f>
        <v>200.93373539407551</v>
      </c>
      <c r="AA34" s="71"/>
      <c r="AB34" s="72">
        <f>$G$2*AA35</f>
        <v>200.93373539407551</v>
      </c>
      <c r="AC34" s="71"/>
      <c r="AD34" s="72">
        <f>$G$2*AC35</f>
        <v>200.93373539407551</v>
      </c>
      <c r="AE34" s="71"/>
    </row>
    <row r="35" spans="1:31" x14ac:dyDescent="0.25">
      <c r="A35" s="73"/>
      <c r="K35" s="72">
        <f>$G$2*J36</f>
        <v>190.22411378849142</v>
      </c>
      <c r="M35" s="72">
        <f>$G$2*L36</f>
        <v>190.22411378849142</v>
      </c>
      <c r="N35" s="71"/>
      <c r="O35" s="72">
        <f>$G$2*N36</f>
        <v>190.22411378849142</v>
      </c>
      <c r="P35" s="71"/>
      <c r="Q35" s="72">
        <f>$G$2*P36</f>
        <v>190.22411378849142</v>
      </c>
      <c r="R35" s="71"/>
      <c r="S35" s="72">
        <f>$G$2*R36</f>
        <v>190.22411378849142</v>
      </c>
      <c r="T35" s="71"/>
      <c r="U35" s="72">
        <f>$G$2*T36</f>
        <v>190.22411378849142</v>
      </c>
      <c r="V35" s="71"/>
      <c r="W35" s="72">
        <f>$G$2*V36</f>
        <v>190.22411378849142</v>
      </c>
      <c r="X35" s="71"/>
      <c r="Y35" s="72">
        <f>$G$2*X36</f>
        <v>190.22411378849142</v>
      </c>
      <c r="Z35" s="71"/>
      <c r="AA35" s="72">
        <f>$G$2*Z36</f>
        <v>190.22411378849142</v>
      </c>
      <c r="AB35" s="71"/>
      <c r="AC35" s="72">
        <f>$G$2*AB36</f>
        <v>190.22411378849142</v>
      </c>
      <c r="AD35" s="71"/>
      <c r="AE35" s="72">
        <f>$G$2*AD36</f>
        <v>190.22411378849142</v>
      </c>
    </row>
    <row r="36" spans="1:31" x14ac:dyDescent="0.25">
      <c r="A36" s="73"/>
      <c r="J36" s="72">
        <f>$G$2*I37</f>
        <v>180.08530720662571</v>
      </c>
      <c r="L36" s="72">
        <f>$G$2*K37</f>
        <v>180.08530720662571</v>
      </c>
      <c r="M36" s="71"/>
      <c r="N36" s="72">
        <f>$G$2*M37</f>
        <v>180.08530720662571</v>
      </c>
      <c r="O36" s="71"/>
      <c r="P36" s="72">
        <f>$G$2*O37</f>
        <v>180.08530720662571</v>
      </c>
      <c r="Q36" s="71"/>
      <c r="R36" s="72">
        <f>$G$2*Q37</f>
        <v>180.08530720662571</v>
      </c>
      <c r="S36" s="71"/>
      <c r="T36" s="72">
        <f>$G$2*S37</f>
        <v>180.08530720662571</v>
      </c>
      <c r="U36" s="71"/>
      <c r="V36" s="72">
        <f>$G$2*U37</f>
        <v>180.08530720662571</v>
      </c>
      <c r="W36" s="71"/>
      <c r="X36" s="72">
        <f>$G$2*W37</f>
        <v>180.08530720662571</v>
      </c>
      <c r="Y36" s="71"/>
      <c r="Z36" s="72">
        <f>$G$2*Y37</f>
        <v>180.08530720662571</v>
      </c>
      <c r="AA36" s="71"/>
      <c r="AB36" s="72">
        <f>$G$2*AA37</f>
        <v>180.08530720662571</v>
      </c>
      <c r="AD36" s="72">
        <f>$G$2*AC37</f>
        <v>180.08530720662571</v>
      </c>
    </row>
    <row r="37" spans="1:31" x14ac:dyDescent="0.25">
      <c r="A37" s="73"/>
      <c r="I37" s="72">
        <f>$G$2*H38</f>
        <v>170.48689162386742</v>
      </c>
      <c r="K37" s="72">
        <f>$G$2*J38</f>
        <v>170.48689162386742</v>
      </c>
      <c r="L37" s="71"/>
      <c r="M37" s="72">
        <f>$G$2*L38</f>
        <v>170.48689162386742</v>
      </c>
      <c r="N37" s="71"/>
      <c r="O37" s="72">
        <f>$G$2*N38</f>
        <v>170.48689162386742</v>
      </c>
      <c r="P37" s="71"/>
      <c r="Q37" s="72">
        <f>$G$2*P38</f>
        <v>170.48689162386742</v>
      </c>
      <c r="R37" s="71"/>
      <c r="S37" s="72">
        <f>$G$2*R38</f>
        <v>170.48689162386742</v>
      </c>
      <c r="T37" s="71"/>
      <c r="U37" s="72">
        <f>$G$2*T38</f>
        <v>170.48689162386742</v>
      </c>
      <c r="V37" s="71"/>
      <c r="W37" s="72">
        <f>$G$2*V38</f>
        <v>170.48689162386742</v>
      </c>
      <c r="X37" s="71"/>
      <c r="Y37" s="72">
        <f>$G$2*X38</f>
        <v>170.48689162386742</v>
      </c>
      <c r="Z37" s="71"/>
      <c r="AA37" s="72">
        <f>$G$2*Z38</f>
        <v>170.48689162386742</v>
      </c>
      <c r="AC37" s="72">
        <f>$G$2*AB38</f>
        <v>170.48689162386742</v>
      </c>
      <c r="AE37" s="72">
        <f>$G$2*AD38</f>
        <v>170.48689162386742</v>
      </c>
    </row>
    <row r="38" spans="1:31" x14ac:dyDescent="0.25">
      <c r="A38" s="73"/>
      <c r="H38" s="72">
        <f>$G$2*G39</f>
        <v>161.40006459393663</v>
      </c>
      <c r="J38" s="72">
        <f>$G$2*I39</f>
        <v>161.40006459393663</v>
      </c>
      <c r="K38" s="71"/>
      <c r="L38" s="72">
        <f>$G$2*K39</f>
        <v>161.40006459393663</v>
      </c>
      <c r="M38" s="71"/>
      <c r="N38" s="72">
        <f>$G$2*M39</f>
        <v>161.40006459393663</v>
      </c>
      <c r="O38" s="71"/>
      <c r="P38" s="72">
        <f>$G$2*O39</f>
        <v>161.40006459393663</v>
      </c>
      <c r="Q38" s="71"/>
      <c r="R38" s="72">
        <f>$G$2*Q39</f>
        <v>161.40006459393663</v>
      </c>
      <c r="S38" s="71"/>
      <c r="T38" s="72">
        <f>$G$2*S39</f>
        <v>161.40006459393663</v>
      </c>
      <c r="U38" s="71"/>
      <c r="V38" s="72">
        <f>$G$2*U39</f>
        <v>161.40006459393663</v>
      </c>
      <c r="W38" s="71"/>
      <c r="X38" s="72">
        <f>$G$2*W39</f>
        <v>161.40006459393663</v>
      </c>
      <c r="Y38" s="71"/>
      <c r="Z38" s="72">
        <f>$G$2*Y39</f>
        <v>161.40006459393663</v>
      </c>
      <c r="AB38" s="72">
        <f>$G$2*AA39</f>
        <v>161.40006459393663</v>
      </c>
      <c r="AC38" s="71"/>
      <c r="AD38" s="72">
        <f>$G$2*AC39</f>
        <v>161.40006459393663</v>
      </c>
      <c r="AE38" s="71"/>
    </row>
    <row r="39" spans="1:31" x14ac:dyDescent="0.25">
      <c r="A39" s="73"/>
      <c r="G39" s="72">
        <f>$G$2*F40</f>
        <v>152.79755881994177</v>
      </c>
      <c r="I39" s="72">
        <f>$G$2*H40</f>
        <v>152.79755881994177</v>
      </c>
      <c r="J39" s="71"/>
      <c r="K39" s="72">
        <f>$G$2*J40</f>
        <v>152.79755881994177</v>
      </c>
      <c r="L39" s="71"/>
      <c r="M39" s="72">
        <f>$G$2*L40</f>
        <v>152.79755881994177</v>
      </c>
      <c r="N39" s="71"/>
      <c r="O39" s="72">
        <f>$G$2*N40</f>
        <v>152.79755881994177</v>
      </c>
      <c r="P39" s="71"/>
      <c r="Q39" s="72">
        <f>$G$2*P40</f>
        <v>152.79755881994177</v>
      </c>
      <c r="R39" s="71"/>
      <c r="S39" s="72">
        <f>$G$2*R40</f>
        <v>152.79755881994177</v>
      </c>
      <c r="T39" s="71"/>
      <c r="U39" s="72">
        <f>$G$2*T40</f>
        <v>152.79755881994177</v>
      </c>
      <c r="V39" s="71"/>
      <c r="W39" s="72">
        <f>$G$2*V40</f>
        <v>152.79755881994177</v>
      </c>
      <c r="X39" s="71"/>
      <c r="Y39" s="72">
        <f>$G$2*X40</f>
        <v>152.79755881994177</v>
      </c>
      <c r="AA39" s="72">
        <f>$G$2*Z40</f>
        <v>152.79755881994177</v>
      </c>
      <c r="AB39" s="71"/>
      <c r="AC39" s="72">
        <f>$G$2*AB40</f>
        <v>152.79755881994177</v>
      </c>
      <c r="AD39" s="71"/>
      <c r="AE39" s="72">
        <f>$G$2*AD40</f>
        <v>152.79755881994177</v>
      </c>
    </row>
    <row r="40" spans="1:31" x14ac:dyDescent="0.25">
      <c r="A40" s="73"/>
      <c r="F40" s="72">
        <f>$G$2*E41</f>
        <v>144.65356033203628</v>
      </c>
      <c r="H40" s="72">
        <f>$G$2*G41</f>
        <v>144.65356033203628</v>
      </c>
      <c r="I40" s="71"/>
      <c r="J40" s="72">
        <f>$G$2*I41</f>
        <v>144.65356033203628</v>
      </c>
      <c r="K40" s="71"/>
      <c r="L40" s="72">
        <f>$G$2*K41</f>
        <v>144.65356033203628</v>
      </c>
      <c r="M40" s="71"/>
      <c r="N40" s="72">
        <f>$G$2*M41</f>
        <v>144.65356033203628</v>
      </c>
      <c r="O40" s="71"/>
      <c r="P40" s="72">
        <f>$G$2*O41</f>
        <v>144.65356033203628</v>
      </c>
      <c r="Q40" s="71"/>
      <c r="R40" s="72">
        <f>$G$2*Q41</f>
        <v>144.65356033203628</v>
      </c>
      <c r="S40" s="71"/>
      <c r="T40" s="72">
        <f>$G$2*S41</f>
        <v>144.65356033203628</v>
      </c>
      <c r="U40" s="71"/>
      <c r="V40" s="72">
        <f>$G$2*U41</f>
        <v>144.65356033203628</v>
      </c>
      <c r="W40" s="71"/>
      <c r="X40" s="72">
        <f>$G$2*W41</f>
        <v>144.65356033203628</v>
      </c>
      <c r="Z40" s="72">
        <f>$G$2*Y41</f>
        <v>144.65356033203628</v>
      </c>
      <c r="AA40" s="71"/>
      <c r="AB40" s="72">
        <f>$G$2*AA41</f>
        <v>144.65356033203628</v>
      </c>
      <c r="AC40" s="71"/>
      <c r="AD40" s="72">
        <f>$G$2*AC41</f>
        <v>144.65356033203628</v>
      </c>
      <c r="AE40" s="71"/>
    </row>
    <row r="41" spans="1:31" x14ac:dyDescent="0.25">
      <c r="A41" s="73"/>
      <c r="E41" s="72">
        <f>$G$2*D42</f>
        <v>136.94363102614673</v>
      </c>
      <c r="G41" s="72">
        <f>$G$2*F42</f>
        <v>136.94363102614673</v>
      </c>
      <c r="H41" s="71"/>
      <c r="I41" s="72">
        <f>$G$2*H42</f>
        <v>136.94363102614673</v>
      </c>
      <c r="J41" s="71"/>
      <c r="K41" s="72">
        <f>$G$2*J42</f>
        <v>136.94363102614673</v>
      </c>
      <c r="L41" s="71"/>
      <c r="M41" s="72">
        <f>$G$2*L42</f>
        <v>136.94363102614673</v>
      </c>
      <c r="N41" s="71"/>
      <c r="O41" s="72">
        <f>$G$2*N42</f>
        <v>136.94363102614673</v>
      </c>
      <c r="P41" s="71"/>
      <c r="Q41" s="72">
        <f>$G$2*P42</f>
        <v>136.94363102614673</v>
      </c>
      <c r="R41" s="71"/>
      <c r="S41" s="72">
        <f>$G$2*R42</f>
        <v>136.94363102614673</v>
      </c>
      <c r="T41" s="71"/>
      <c r="U41" s="72">
        <f>$G$2*T42</f>
        <v>136.94363102614673</v>
      </c>
      <c r="V41" s="71"/>
      <c r="W41" s="72">
        <f>$G$2*V42</f>
        <v>136.94363102614673</v>
      </c>
      <c r="Y41" s="72">
        <f>$G$2*X42</f>
        <v>136.94363102614673</v>
      </c>
      <c r="Z41" s="71"/>
      <c r="AA41" s="72">
        <f>$G$2*Z42</f>
        <v>136.94363102614673</v>
      </c>
      <c r="AB41" s="71"/>
      <c r="AC41" s="72">
        <f>$G$2*AB42</f>
        <v>136.94363102614673</v>
      </c>
      <c r="AD41" s="71"/>
      <c r="AE41" s="72">
        <f>$G$2*AD42</f>
        <v>136.9436310261467</v>
      </c>
    </row>
    <row r="42" spans="1:31" x14ac:dyDescent="0.25">
      <c r="A42" s="73"/>
      <c r="D42" s="72">
        <f>$G$2*C43</f>
        <v>129.64463533133022</v>
      </c>
      <c r="F42" s="72">
        <f>$G$2*E43</f>
        <v>129.64463533133022</v>
      </c>
      <c r="G42" s="71"/>
      <c r="H42" s="72">
        <f>$G$2*G43</f>
        <v>129.64463533133022</v>
      </c>
      <c r="I42" s="71"/>
      <c r="J42" s="72">
        <f>$G$2*I43</f>
        <v>129.64463533133022</v>
      </c>
      <c r="K42" s="71"/>
      <c r="L42" s="72">
        <f>$G$2*K43</f>
        <v>129.64463533133022</v>
      </c>
      <c r="M42" s="71"/>
      <c r="N42" s="72">
        <f>$G$2*M43</f>
        <v>129.64463533133022</v>
      </c>
      <c r="O42" s="71"/>
      <c r="P42" s="72">
        <f>$G$2*O43</f>
        <v>129.64463533133022</v>
      </c>
      <c r="Q42" s="71"/>
      <c r="R42" s="72">
        <f>$G$2*Q43</f>
        <v>129.64463533133022</v>
      </c>
      <c r="S42" s="71"/>
      <c r="T42" s="72">
        <f>$G$2*S43</f>
        <v>129.64463533133022</v>
      </c>
      <c r="U42" s="71"/>
      <c r="V42" s="72">
        <f>$G$2*U43</f>
        <v>129.64463533133022</v>
      </c>
      <c r="X42" s="72">
        <f>$G$2*W43</f>
        <v>129.64463533133022</v>
      </c>
      <c r="Y42" s="71"/>
      <c r="Z42" s="72">
        <f>$G$2*Y43</f>
        <v>129.64463533133022</v>
      </c>
      <c r="AA42" s="71"/>
      <c r="AB42" s="72">
        <f>$G$2*AA43</f>
        <v>129.64463533133022</v>
      </c>
      <c r="AC42" s="71"/>
      <c r="AD42" s="72">
        <f>$G$2*AC43</f>
        <v>129.64463533133019</v>
      </c>
      <c r="AE42" s="71"/>
    </row>
    <row r="43" spans="1:31" x14ac:dyDescent="0.25">
      <c r="A43" s="73"/>
      <c r="C43" s="72">
        <f>$G$2*B44</f>
        <v>122.73467078570806</v>
      </c>
      <c r="E43" s="72">
        <f>$G$2*D44</f>
        <v>122.73467078570806</v>
      </c>
      <c r="F43" s="71"/>
      <c r="G43" s="72">
        <f>$G$2*F44</f>
        <v>122.73467078570806</v>
      </c>
      <c r="H43" s="71"/>
      <c r="I43" s="72">
        <f>$G$2*H44</f>
        <v>122.73467078570806</v>
      </c>
      <c r="J43" s="71"/>
      <c r="K43" s="72">
        <f>$G$2*J44</f>
        <v>122.73467078570806</v>
      </c>
      <c r="L43" s="71"/>
      <c r="M43" s="72">
        <f>$G$2*L44</f>
        <v>122.73467078570806</v>
      </c>
      <c r="N43" s="71"/>
      <c r="O43" s="72">
        <f>$G$2*N44</f>
        <v>122.73467078570806</v>
      </c>
      <c r="P43" s="71"/>
      <c r="Q43" s="72">
        <f>$G$2*P44</f>
        <v>122.73467078570806</v>
      </c>
      <c r="R43" s="71"/>
      <c r="S43" s="72">
        <f>$G$2*R44</f>
        <v>122.73467078570806</v>
      </c>
      <c r="T43" s="71"/>
      <c r="U43" s="72">
        <f>$G$2*T44</f>
        <v>122.73467078570806</v>
      </c>
      <c r="W43" s="72">
        <f>$G$2*V44</f>
        <v>122.73467078570806</v>
      </c>
      <c r="X43" s="71"/>
      <c r="Y43" s="72">
        <f>$G$2*X44</f>
        <v>122.73467078570806</v>
      </c>
      <c r="Z43" s="71"/>
      <c r="AA43" s="72">
        <f>$G$2*Z44</f>
        <v>122.73467078570806</v>
      </c>
      <c r="AB43" s="71"/>
      <c r="AC43" s="72">
        <f>$G$2*AB44</f>
        <v>122.73467078570805</v>
      </c>
      <c r="AD43" s="71"/>
      <c r="AE43" s="72">
        <f>$G$2*AD44</f>
        <v>122.73467078570805</v>
      </c>
    </row>
    <row r="44" spans="1:31" x14ac:dyDescent="0.25">
      <c r="A44" s="73"/>
      <c r="B44" s="72">
        <f>$G$2*A45</f>
        <v>116.19300231265171</v>
      </c>
      <c r="D44" s="72">
        <f>$G$2*C45</f>
        <v>116.19300231265171</v>
      </c>
      <c r="E44" s="71"/>
      <c r="F44" s="72">
        <f>$G$2*E45</f>
        <v>116.19300231265171</v>
      </c>
      <c r="G44" s="71"/>
      <c r="H44" s="72">
        <f>$G$2*G45</f>
        <v>116.19300231265171</v>
      </c>
      <c r="I44" s="71"/>
      <c r="J44" s="72">
        <f>$G$2*I45</f>
        <v>116.19300231265171</v>
      </c>
      <c r="K44" s="71"/>
      <c r="L44" s="72">
        <f>$G$2*K45</f>
        <v>116.19300231265171</v>
      </c>
      <c r="M44" s="71"/>
      <c r="N44" s="72">
        <f>$G$2*M45</f>
        <v>116.19300231265171</v>
      </c>
      <c r="O44" s="71"/>
      <c r="P44" s="72">
        <f>$G$2*O45</f>
        <v>116.19300231265171</v>
      </c>
      <c r="Q44" s="71"/>
      <c r="R44" s="72">
        <f>$G$2*Q45</f>
        <v>116.19300231265171</v>
      </c>
      <c r="S44" s="71"/>
      <c r="T44" s="72">
        <f>$G$2*S45</f>
        <v>116.19300231265171</v>
      </c>
      <c r="V44" s="72">
        <f>$G$2*U45</f>
        <v>116.19300231265171</v>
      </c>
      <c r="W44" s="71"/>
      <c r="X44" s="72">
        <f>$G$2*W45</f>
        <v>116.19300231265171</v>
      </c>
      <c r="Y44" s="71"/>
      <c r="Z44" s="72">
        <f>$G$2*Y45</f>
        <v>116.19300231265171</v>
      </c>
      <c r="AA44" s="71"/>
      <c r="AB44" s="72">
        <f>$G$2*AA45</f>
        <v>116.1930023126517</v>
      </c>
      <c r="AC44" s="71"/>
      <c r="AD44" s="72">
        <f>$G$2*AC45</f>
        <v>116.1930023126517</v>
      </c>
      <c r="AE44" s="71"/>
    </row>
    <row r="45" spans="1:31" x14ac:dyDescent="0.25">
      <c r="A45" s="73">
        <f>B1</f>
        <v>110</v>
      </c>
      <c r="C45" s="72">
        <f>$G$2*B46</f>
        <v>110</v>
      </c>
      <c r="E45" s="72">
        <f>$G$2*D46</f>
        <v>110</v>
      </c>
      <c r="F45" s="71"/>
      <c r="G45" s="72">
        <f>$G$2*F46</f>
        <v>110</v>
      </c>
      <c r="H45" s="71"/>
      <c r="I45" s="72">
        <f>$G$2*H46</f>
        <v>110</v>
      </c>
      <c r="J45" s="71"/>
      <c r="K45" s="72">
        <f>$G$2*J46</f>
        <v>110</v>
      </c>
      <c r="L45" s="71"/>
      <c r="M45" s="72">
        <f>$G$2*L46</f>
        <v>110</v>
      </c>
      <c r="N45" s="71"/>
      <c r="O45" s="72">
        <f>$G$2*N46</f>
        <v>110</v>
      </c>
      <c r="P45" s="71"/>
      <c r="Q45" s="72">
        <f>$G$2*P46</f>
        <v>110</v>
      </c>
      <c r="R45" s="71"/>
      <c r="S45" s="72">
        <f>$G$2*R46</f>
        <v>110</v>
      </c>
      <c r="U45" s="72">
        <f>$G$2*T46</f>
        <v>110</v>
      </c>
      <c r="V45" s="71"/>
      <c r="W45" s="72">
        <f>$G$2*V46</f>
        <v>110</v>
      </c>
      <c r="X45" s="71"/>
      <c r="Y45" s="72">
        <f>$G$2*X46</f>
        <v>110</v>
      </c>
      <c r="Z45" s="71"/>
      <c r="AA45" s="72">
        <f>$G$2*Z46</f>
        <v>109.99999999999999</v>
      </c>
      <c r="AB45" s="71"/>
      <c r="AC45" s="72">
        <f>$G$2*AB46</f>
        <v>109.99999999999999</v>
      </c>
      <c r="AD45" s="71"/>
      <c r="AE45" s="72">
        <f>$G$2*AD46</f>
        <v>109.99999999999999</v>
      </c>
    </row>
    <row r="46" spans="1:31" x14ac:dyDescent="0.25">
      <c r="A46" s="73"/>
      <c r="B46" s="56">
        <f>A45*$G$3</f>
        <v>104.13708019559873</v>
      </c>
      <c r="D46" s="72">
        <f>$G$2*C47</f>
        <v>104.13708019559873</v>
      </c>
      <c r="E46" s="71"/>
      <c r="F46" s="72">
        <f>$G$2*E47</f>
        <v>104.13708019559873</v>
      </c>
      <c r="G46" s="71"/>
      <c r="H46" s="72">
        <f>$G$2*G47</f>
        <v>104.13708019559873</v>
      </c>
      <c r="I46" s="71"/>
      <c r="J46" s="72">
        <f>$G$2*I47</f>
        <v>104.13708019559873</v>
      </c>
      <c r="K46" s="71"/>
      <c r="L46" s="72">
        <f>$G$2*K47</f>
        <v>104.13708019559873</v>
      </c>
      <c r="M46" s="71"/>
      <c r="N46" s="72">
        <f>$G$2*M47</f>
        <v>104.13708019559873</v>
      </c>
      <c r="O46" s="71"/>
      <c r="P46" s="72">
        <f>$G$2*O47</f>
        <v>104.13708019559873</v>
      </c>
      <c r="Q46" s="71"/>
      <c r="R46" s="72">
        <f>$G$2*Q47</f>
        <v>104.13708019559873</v>
      </c>
      <c r="T46" s="72">
        <f>$G$2*S47</f>
        <v>104.13708019559873</v>
      </c>
      <c r="U46" s="71"/>
      <c r="V46" s="72">
        <f>$G$2*U47</f>
        <v>104.13708019559873</v>
      </c>
      <c r="W46" s="71"/>
      <c r="X46" s="72">
        <f>$G$2*W47</f>
        <v>104.13708019559873</v>
      </c>
      <c r="Y46" s="71"/>
      <c r="Z46" s="72">
        <f>$G$2*Y47</f>
        <v>104.13708019559871</v>
      </c>
      <c r="AA46" s="71"/>
      <c r="AB46" s="72">
        <f>$G$2*AA47</f>
        <v>104.13708019559871</v>
      </c>
      <c r="AD46" s="72">
        <f>$G$2*AC47</f>
        <v>104.13708019559871</v>
      </c>
    </row>
    <row r="47" spans="1:31" x14ac:dyDescent="0.25">
      <c r="A47" s="73"/>
      <c r="C47" s="56">
        <f>B46*$G$3</f>
        <v>98.5866497424051</v>
      </c>
      <c r="E47" s="72">
        <f>$G$2*D48</f>
        <v>98.5866497424051</v>
      </c>
      <c r="F47" s="71"/>
      <c r="G47" s="72">
        <f>$G$2*F48</f>
        <v>98.5866497424051</v>
      </c>
      <c r="H47" s="71"/>
      <c r="I47" s="72">
        <f>$G$2*H48</f>
        <v>98.5866497424051</v>
      </c>
      <c r="J47" s="71"/>
      <c r="K47" s="72">
        <f>$G$2*J48</f>
        <v>98.5866497424051</v>
      </c>
      <c r="L47" s="71"/>
      <c r="M47" s="72">
        <f>$G$2*L48</f>
        <v>98.5866497424051</v>
      </c>
      <c r="N47" s="71"/>
      <c r="O47" s="72">
        <f>$G$2*N48</f>
        <v>98.5866497424051</v>
      </c>
      <c r="P47" s="71"/>
      <c r="Q47" s="72">
        <f>$G$2*P48</f>
        <v>98.5866497424051</v>
      </c>
      <c r="S47" s="72">
        <f>$G$2*R48</f>
        <v>98.5866497424051</v>
      </c>
      <c r="T47" s="71"/>
      <c r="U47" s="72">
        <f>$G$2*T48</f>
        <v>98.5866497424051</v>
      </c>
      <c r="V47" s="71"/>
      <c r="W47" s="72">
        <f>$G$2*V48</f>
        <v>98.5866497424051</v>
      </c>
      <c r="X47" s="71"/>
      <c r="Y47" s="72">
        <f>$G$2*X48</f>
        <v>98.586649742405086</v>
      </c>
      <c r="Z47" s="71"/>
      <c r="AA47" s="72">
        <f>$G$2*Z48</f>
        <v>98.586649742405086</v>
      </c>
      <c r="AC47" s="72">
        <f>$G$2*AB48</f>
        <v>98.586649742405086</v>
      </c>
      <c r="AE47" s="72">
        <f>$G$2*AD48</f>
        <v>98.586649742405086</v>
      </c>
    </row>
    <row r="48" spans="1:31" x14ac:dyDescent="0.25">
      <c r="A48" s="73"/>
      <c r="D48" s="56">
        <f>C47*$G$3</f>
        <v>93.332053185820385</v>
      </c>
      <c r="E48" s="72"/>
      <c r="F48" s="72">
        <f>$G$2*E49</f>
        <v>93.332053185820385</v>
      </c>
      <c r="G48" s="71"/>
      <c r="H48" s="72">
        <f>$G$2*G49</f>
        <v>93.332053185820385</v>
      </c>
      <c r="I48" s="71"/>
      <c r="J48" s="72">
        <f>$G$2*I49</f>
        <v>93.332053185820385</v>
      </c>
      <c r="K48" s="71"/>
      <c r="L48" s="72">
        <f>$G$2*K49</f>
        <v>93.332053185820385</v>
      </c>
      <c r="M48" s="71"/>
      <c r="N48" s="72">
        <f>$G$2*M49</f>
        <v>93.332053185820385</v>
      </c>
      <c r="O48" s="71"/>
      <c r="P48" s="72">
        <f>$G$2*O49</f>
        <v>93.332053185820385</v>
      </c>
      <c r="R48" s="72">
        <f>$G$2*Q49</f>
        <v>93.332053185820385</v>
      </c>
      <c r="S48" s="71"/>
      <c r="T48" s="72">
        <f>$G$2*S49</f>
        <v>93.332053185820385</v>
      </c>
      <c r="U48" s="71"/>
      <c r="V48" s="72">
        <f>$G$2*U49</f>
        <v>93.332053185820385</v>
      </c>
      <c r="W48" s="71"/>
      <c r="X48" s="72">
        <f>$G$2*W49</f>
        <v>93.332053185820371</v>
      </c>
      <c r="Y48" s="71"/>
      <c r="Z48" s="72">
        <f>$G$2*Y49</f>
        <v>93.332053185820371</v>
      </c>
      <c r="AB48" s="72">
        <f>$G$2*AA49</f>
        <v>93.332053185820371</v>
      </c>
      <c r="AC48" s="71"/>
      <c r="AD48" s="72">
        <f>$G$2*AC49</f>
        <v>93.332053185820371</v>
      </c>
      <c r="AE48" s="71"/>
    </row>
    <row r="49" spans="5:31" x14ac:dyDescent="0.25">
      <c r="E49" s="56">
        <f>D48*$G$3</f>
        <v>88.357522794833301</v>
      </c>
      <c r="G49" s="72">
        <f>$G$2*F50</f>
        <v>88.357522794833301</v>
      </c>
      <c r="H49" s="71"/>
      <c r="I49" s="72">
        <f>$G$2*H50</f>
        <v>88.357522794833301</v>
      </c>
      <c r="J49" s="71"/>
      <c r="K49" s="72">
        <f>$G$2*J50</f>
        <v>88.357522794833301</v>
      </c>
      <c r="L49" s="71"/>
      <c r="M49" s="72">
        <f>$G$2*L50</f>
        <v>88.357522794833301</v>
      </c>
      <c r="N49" s="71"/>
      <c r="O49" s="72">
        <f>$G$2*N50</f>
        <v>88.357522794833301</v>
      </c>
      <c r="Q49" s="72">
        <f>$G$2*P50</f>
        <v>88.357522794833301</v>
      </c>
      <c r="R49" s="71"/>
      <c r="S49" s="72">
        <f>$G$2*R50</f>
        <v>88.357522794833301</v>
      </c>
      <c r="T49" s="71"/>
      <c r="U49" s="72">
        <f>$G$2*T50</f>
        <v>88.357522794833301</v>
      </c>
      <c r="V49" s="71"/>
      <c r="W49" s="72">
        <f>$G$2*V50</f>
        <v>88.357522794833287</v>
      </c>
      <c r="X49" s="71"/>
      <c r="Y49" s="72">
        <f>$G$2*X50</f>
        <v>88.357522794833287</v>
      </c>
      <c r="AA49" s="72">
        <f>$G$2*Z50</f>
        <v>88.357522794833287</v>
      </c>
      <c r="AB49" s="71"/>
      <c r="AC49" s="72">
        <f>$G$2*AB50</f>
        <v>88.357522794833287</v>
      </c>
      <c r="AD49" s="71"/>
      <c r="AE49" s="72">
        <f>$G$2*AD50</f>
        <v>88.357522794833287</v>
      </c>
    </row>
    <row r="50" spans="5:31" x14ac:dyDescent="0.25">
      <c r="E50" s="72"/>
      <c r="F50" s="56">
        <f>E49*$G$3</f>
        <v>83.648131246999981</v>
      </c>
      <c r="H50" s="72">
        <f>$G$2*G51</f>
        <v>83.648131246999981</v>
      </c>
      <c r="I50" s="71"/>
      <c r="J50" s="72">
        <f>$G$2*I51</f>
        <v>83.648131246999981</v>
      </c>
      <c r="K50" s="71"/>
      <c r="L50" s="72">
        <f>$G$2*K51</f>
        <v>83.648131246999981</v>
      </c>
      <c r="M50" s="71"/>
      <c r="N50" s="72">
        <f>$G$2*M51</f>
        <v>83.648131246999981</v>
      </c>
      <c r="P50" s="72">
        <f>$G$2*O51</f>
        <v>83.648131246999981</v>
      </c>
      <c r="Q50" s="71"/>
      <c r="R50" s="72">
        <f>$G$2*Q51</f>
        <v>83.648131246999981</v>
      </c>
      <c r="S50" s="71"/>
      <c r="T50" s="72">
        <f>$G$2*S51</f>
        <v>83.648131246999981</v>
      </c>
      <c r="U50" s="71"/>
      <c r="V50" s="72">
        <f>$G$2*U51</f>
        <v>83.648131246999966</v>
      </c>
      <c r="W50" s="71"/>
      <c r="X50" s="72">
        <f>$G$2*W51</f>
        <v>83.648131246999966</v>
      </c>
      <c r="Z50" s="72">
        <f>$G$2*Y51</f>
        <v>83.648131246999966</v>
      </c>
      <c r="AA50" s="71"/>
      <c r="AB50" s="72">
        <f>$G$2*AA51</f>
        <v>83.648131246999966</v>
      </c>
      <c r="AC50" s="71"/>
      <c r="AD50" s="72">
        <f>$G$2*AC51</f>
        <v>83.648131246999966</v>
      </c>
      <c r="AE50" s="71"/>
    </row>
    <row r="51" spans="5:31" x14ac:dyDescent="0.25">
      <c r="E51" s="72"/>
      <c r="G51" s="56">
        <f>F50*$G$3</f>
        <v>79.189746835280047</v>
      </c>
      <c r="I51" s="72">
        <f>$G$2*H52</f>
        <v>79.189746835280047</v>
      </c>
      <c r="J51" s="71"/>
      <c r="K51" s="72">
        <f>$G$2*J52</f>
        <v>79.189746835280047</v>
      </c>
      <c r="L51" s="71"/>
      <c r="M51" s="72">
        <f>$G$2*L52</f>
        <v>79.189746835280047</v>
      </c>
      <c r="O51" s="72">
        <f>$G$2*N52</f>
        <v>79.189746835280047</v>
      </c>
      <c r="P51" s="71"/>
      <c r="Q51" s="72">
        <f>$G$2*P52</f>
        <v>79.189746835280047</v>
      </c>
      <c r="R51" s="71"/>
      <c r="S51" s="72">
        <f>$G$2*R52</f>
        <v>79.189746835280047</v>
      </c>
      <c r="T51" s="71"/>
      <c r="U51" s="72">
        <f>$G$2*T52</f>
        <v>79.189746835280033</v>
      </c>
      <c r="V51" s="71"/>
      <c r="W51" s="72">
        <f>$G$2*V52</f>
        <v>79.189746835280033</v>
      </c>
      <c r="Y51" s="72">
        <f>$G$2*X52</f>
        <v>79.189746835280033</v>
      </c>
      <c r="Z51" s="71"/>
      <c r="AA51" s="72">
        <f>$G$2*Z52</f>
        <v>79.189746835280033</v>
      </c>
      <c r="AB51" s="71"/>
      <c r="AC51" s="72">
        <f>$G$2*AB52</f>
        <v>79.189746835280033</v>
      </c>
      <c r="AD51" s="71"/>
      <c r="AE51" s="72">
        <f>$G$2*AD52</f>
        <v>79.189746835280033</v>
      </c>
    </row>
    <row r="52" spans="5:31" x14ac:dyDescent="0.25">
      <c r="E52" s="72"/>
      <c r="H52" s="56">
        <f>G51*$G$3</f>
        <v>74.968991062315624</v>
      </c>
      <c r="J52" s="72">
        <f>$G$2*I53</f>
        <v>74.968991062315624</v>
      </c>
      <c r="K52" s="71"/>
      <c r="L52" s="72">
        <f>$G$2*K53</f>
        <v>74.968991062315624</v>
      </c>
      <c r="N52" s="72">
        <f>$G$2*M53</f>
        <v>74.968991062315624</v>
      </c>
      <c r="O52" s="71"/>
      <c r="P52" s="72">
        <f>$G$2*O53</f>
        <v>74.968991062315624</v>
      </c>
      <c r="Q52" s="71"/>
      <c r="R52" s="72">
        <f>$G$2*Q53</f>
        <v>74.968991062315624</v>
      </c>
      <c r="S52" s="71"/>
      <c r="T52" s="72">
        <f>$G$2*S53</f>
        <v>74.968991062315609</v>
      </c>
      <c r="U52" s="71"/>
      <c r="V52" s="72">
        <f>$G$2*U53</f>
        <v>74.968991062315609</v>
      </c>
      <c r="X52" s="72">
        <f>$G$2*W53</f>
        <v>74.968991062315609</v>
      </c>
      <c r="Y52" s="71"/>
      <c r="Z52" s="72">
        <f>$G$2*Y53</f>
        <v>74.968991062315609</v>
      </c>
      <c r="AA52" s="71"/>
      <c r="AB52" s="72">
        <f>$G$2*AA53</f>
        <v>74.968991062315609</v>
      </c>
      <c r="AC52" s="71"/>
      <c r="AD52" s="72">
        <f>$G$2*AC53</f>
        <v>74.968991062315609</v>
      </c>
      <c r="AE52" s="71"/>
    </row>
    <row r="53" spans="5:31" x14ac:dyDescent="0.25">
      <c r="E53" s="72"/>
      <c r="I53" s="56">
        <f>H52*$G$3</f>
        <v>70.973198494904423</v>
      </c>
      <c r="K53" s="72">
        <f>$G$2*J54</f>
        <v>70.973198494904423</v>
      </c>
      <c r="M53" s="72">
        <f>$G$2*L54</f>
        <v>70.973198494904423</v>
      </c>
      <c r="N53" s="71"/>
      <c r="O53" s="72">
        <f>$G$2*N54</f>
        <v>70.973198494904423</v>
      </c>
      <c r="P53" s="71"/>
      <c r="Q53" s="72">
        <f>$G$2*P54</f>
        <v>70.973198494904423</v>
      </c>
      <c r="R53" s="71"/>
      <c r="S53" s="72">
        <f>$G$2*R54</f>
        <v>70.973198494904409</v>
      </c>
      <c r="T53" s="71"/>
      <c r="U53" s="72">
        <f>$G$2*T54</f>
        <v>70.973198494904409</v>
      </c>
      <c r="W53" s="72">
        <f>$G$2*V54</f>
        <v>70.973198494904409</v>
      </c>
      <c r="X53" s="71"/>
      <c r="Y53" s="72">
        <f>$G$2*X54</f>
        <v>70.973198494904409</v>
      </c>
      <c r="Z53" s="71"/>
      <c r="AA53" s="72">
        <f>$G$2*Z54</f>
        <v>70.973198494904409</v>
      </c>
      <c r="AB53" s="71"/>
      <c r="AC53" s="72">
        <f>$G$2*AB54</f>
        <v>70.973198494904409</v>
      </c>
      <c r="AD53" s="71"/>
      <c r="AE53" s="72">
        <f>$G$2*AD54</f>
        <v>70.973198494904409</v>
      </c>
    </row>
    <row r="54" spans="5:31" x14ac:dyDescent="0.25">
      <c r="E54" s="72"/>
      <c r="J54" s="56">
        <f>I53*$G$3</f>
        <v>67.190378758200083</v>
      </c>
      <c r="L54" s="72">
        <f>$G$2*K55</f>
        <v>67.190378758200083</v>
      </c>
      <c r="M54" s="71"/>
      <c r="N54" s="72">
        <f>$G$2*M55</f>
        <v>67.190378758200083</v>
      </c>
      <c r="O54" s="71"/>
      <c r="P54" s="72">
        <f>$G$2*O55</f>
        <v>67.190378758200083</v>
      </c>
      <c r="Q54" s="71"/>
      <c r="R54" s="72">
        <f>$G$2*Q55</f>
        <v>67.190378758200069</v>
      </c>
      <c r="S54" s="71"/>
      <c r="T54" s="72">
        <f>$G$2*S55</f>
        <v>67.190378758200069</v>
      </c>
      <c r="V54" s="72">
        <f>$G$2*U55</f>
        <v>67.190378758200069</v>
      </c>
      <c r="W54" s="71"/>
      <c r="X54" s="72">
        <f>$G$2*W55</f>
        <v>67.190378758200069</v>
      </c>
      <c r="Y54" s="71"/>
      <c r="Z54" s="72">
        <f>$G$2*Y55</f>
        <v>67.190378758200069</v>
      </c>
      <c r="AA54" s="71"/>
      <c r="AB54" s="72">
        <f>$G$2*AA55</f>
        <v>67.190378758200069</v>
      </c>
      <c r="AC54" s="71"/>
      <c r="AD54" s="72">
        <f>$G$2*AC55</f>
        <v>67.190378758200069</v>
      </c>
      <c r="AE54" s="71"/>
    </row>
    <row r="55" spans="5:31" x14ac:dyDescent="0.25">
      <c r="E55" s="72"/>
      <c r="K55" s="56">
        <f>J54*$G$3</f>
        <v>63.609180555593959</v>
      </c>
      <c r="M55" s="72">
        <f>$G$2*L56</f>
        <v>63.609180555593959</v>
      </c>
      <c r="N55" s="71"/>
      <c r="O55" s="72">
        <f>$G$2*N56</f>
        <v>63.609180555593959</v>
      </c>
      <c r="P55" s="71"/>
      <c r="Q55" s="72">
        <f>$G$2*P56</f>
        <v>63.609180555593952</v>
      </c>
      <c r="R55" s="71"/>
      <c r="S55" s="72">
        <f>$G$2*R56</f>
        <v>63.609180555593952</v>
      </c>
      <c r="U55" s="72">
        <f>$G$2*T56</f>
        <v>63.609180555593944</v>
      </c>
      <c r="V55" s="71"/>
      <c r="W55" s="72">
        <f>$G$2*V56</f>
        <v>63.609180555593944</v>
      </c>
      <c r="X55" s="71"/>
      <c r="Y55" s="72">
        <f>$G$2*X56</f>
        <v>63.609180555593944</v>
      </c>
      <c r="Z55" s="71"/>
      <c r="AA55" s="72">
        <f>$G$2*Z56</f>
        <v>63.609180555593944</v>
      </c>
      <c r="AB55" s="71"/>
      <c r="AC55" s="72">
        <f>$G$2*AB56</f>
        <v>63.609180555593944</v>
      </c>
      <c r="AD55" s="71"/>
      <c r="AE55" s="72">
        <f>$G$2*AD56</f>
        <v>63.609180555593944</v>
      </c>
    </row>
    <row r="56" spans="5:31" x14ac:dyDescent="0.25">
      <c r="E56" s="72"/>
      <c r="L56" s="56">
        <f>K55*$G$3</f>
        <v>60.218857606310976</v>
      </c>
      <c r="N56" s="72">
        <f>$G$2*M57</f>
        <v>60.218857606310976</v>
      </c>
      <c r="O56" s="71"/>
      <c r="P56" s="72">
        <f>$G$2*O57</f>
        <v>60.218857606310969</v>
      </c>
      <c r="Q56" s="71"/>
      <c r="R56" s="72">
        <f>$G$2*Q57</f>
        <v>60.218857606310969</v>
      </c>
      <c r="T56" s="72">
        <f>$G$2*S57</f>
        <v>60.218857606310962</v>
      </c>
      <c r="U56" s="71"/>
      <c r="V56" s="72">
        <f>$G$2*U57</f>
        <v>60.218857606310962</v>
      </c>
      <c r="W56" s="71"/>
      <c r="X56" s="72">
        <f>$G$2*W57</f>
        <v>60.218857606310962</v>
      </c>
      <c r="Y56" s="71"/>
      <c r="Z56" s="72">
        <f>$G$2*Y57</f>
        <v>60.218857606310962</v>
      </c>
      <c r="AA56" s="71"/>
      <c r="AB56" s="72">
        <f>$G$2*AA57</f>
        <v>60.218857606310962</v>
      </c>
      <c r="AD56" s="72">
        <f>$G$2*AC57</f>
        <v>60.218857606310962</v>
      </c>
    </row>
    <row r="57" spans="5:31" x14ac:dyDescent="0.25">
      <c r="E57" s="72"/>
      <c r="M57" s="56">
        <f>L56*$G$3</f>
        <v>57.009236398506786</v>
      </c>
      <c r="O57" s="72">
        <f>$G$2*N58</f>
        <v>57.009236398506779</v>
      </c>
      <c r="P57" s="71"/>
      <c r="Q57" s="72">
        <f>$G$2*P58</f>
        <v>57.009236398506779</v>
      </c>
      <c r="S57" s="72">
        <f>$G$2*R58</f>
        <v>57.009236398506772</v>
      </c>
      <c r="T57" s="71"/>
      <c r="U57" s="72">
        <f>$G$2*T58</f>
        <v>57.009236398506772</v>
      </c>
      <c r="V57" s="71"/>
      <c r="W57" s="72">
        <f>$G$2*V58</f>
        <v>57.009236398506772</v>
      </c>
      <c r="X57" s="71"/>
      <c r="Y57" s="72">
        <f>$G$2*X58</f>
        <v>57.009236398506772</v>
      </c>
      <c r="Z57" s="71"/>
      <c r="AA57" s="72">
        <f>$G$2*Z58</f>
        <v>57.009236398506772</v>
      </c>
      <c r="AC57" s="72">
        <f>$G$2*AB58</f>
        <v>57.009236398506772</v>
      </c>
      <c r="AE57" s="72">
        <f>$G$2*AD58</f>
        <v>57.009236398506772</v>
      </c>
    </row>
    <row r="58" spans="5:31" x14ac:dyDescent="0.25">
      <c r="E58" s="72"/>
      <c r="N58" s="56">
        <f>M57*$G$3</f>
        <v>53.970685661101335</v>
      </c>
      <c r="P58" s="72">
        <f>$G$2*O59</f>
        <v>53.970685661101335</v>
      </c>
      <c r="R58" s="72">
        <f>$G$2*Q59</f>
        <v>53.970685661101328</v>
      </c>
      <c r="S58" s="71"/>
      <c r="T58" s="72">
        <f>$G$2*S59</f>
        <v>53.970685661101328</v>
      </c>
      <c r="U58" s="71"/>
      <c r="V58" s="72">
        <f>$G$2*U59</f>
        <v>53.970685661101328</v>
      </c>
      <c r="W58" s="71"/>
      <c r="X58" s="72">
        <f>$G$2*W59</f>
        <v>53.970685661101328</v>
      </c>
      <c r="Y58" s="71"/>
      <c r="Z58" s="72">
        <f>$G$2*Y59</f>
        <v>53.970685661101328</v>
      </c>
      <c r="AB58" s="72">
        <f>$G$2*AA59</f>
        <v>53.970685661101328</v>
      </c>
      <c r="AC58" s="71"/>
      <c r="AD58" s="72">
        <f>$G$2*AC59</f>
        <v>53.970685661101328</v>
      </c>
      <c r="AE58" s="71"/>
    </row>
    <row r="59" spans="5:31" x14ac:dyDescent="0.25">
      <c r="E59" s="72"/>
      <c r="O59" s="56">
        <f>N58*$G$3</f>
        <v>51.094087462741456</v>
      </c>
      <c r="Q59" s="72">
        <f>$G$2*P60</f>
        <v>51.094087462741449</v>
      </c>
      <c r="R59" s="71"/>
      <c r="S59" s="72">
        <f>$G$2*R60</f>
        <v>51.094087462741449</v>
      </c>
      <c r="T59" s="71"/>
      <c r="U59" s="72">
        <f>$G$2*T60</f>
        <v>51.094087462741449</v>
      </c>
      <c r="V59" s="71"/>
      <c r="W59" s="72">
        <f>$G$2*V60</f>
        <v>51.094087462741449</v>
      </c>
      <c r="X59" s="71"/>
      <c r="Y59" s="72">
        <f>$G$2*X60</f>
        <v>51.094087462741449</v>
      </c>
      <c r="AA59" s="72">
        <f>$G$2*Z60</f>
        <v>51.094087462741449</v>
      </c>
      <c r="AB59" s="71"/>
      <c r="AC59" s="72">
        <f>$G$2*AB60</f>
        <v>51.094087462741449</v>
      </c>
      <c r="AD59" s="71"/>
      <c r="AE59" s="72">
        <f>$G$2*AD60</f>
        <v>51.094087462741449</v>
      </c>
    </row>
    <row r="60" spans="5:31" x14ac:dyDescent="0.25">
      <c r="E60" s="72"/>
      <c r="P60" s="56">
        <f>O59*$G$3</f>
        <v>48.370809851167657</v>
      </c>
      <c r="R60" s="72">
        <f>$G$2*Q61</f>
        <v>48.370809851167657</v>
      </c>
      <c r="S60" s="71"/>
      <c r="T60" s="72">
        <f>$G$2*S61</f>
        <v>48.370809851167657</v>
      </c>
      <c r="U60" s="71"/>
      <c r="V60" s="72">
        <f>$G$2*U61</f>
        <v>48.370809851167657</v>
      </c>
      <c r="W60" s="71"/>
      <c r="X60" s="72">
        <f>$G$2*W61</f>
        <v>48.370809851167657</v>
      </c>
      <c r="Z60" s="72">
        <f>$G$2*Y61</f>
        <v>48.370809851167657</v>
      </c>
      <c r="AA60" s="71"/>
      <c r="AB60" s="72">
        <f>$G$2*AA61</f>
        <v>48.370809851167657</v>
      </c>
      <c r="AC60" s="71"/>
      <c r="AD60" s="72">
        <f>$G$2*AC61</f>
        <v>48.370809851167657</v>
      </c>
      <c r="AE60" s="71"/>
    </row>
    <row r="61" spans="5:31" x14ac:dyDescent="0.25">
      <c r="E61" s="72"/>
      <c r="Q61" s="56">
        <f>P60*$G$3</f>
        <v>45.792680950882755</v>
      </c>
      <c r="S61" s="72">
        <f>$G$2*R62</f>
        <v>45.792680950882755</v>
      </c>
      <c r="T61" s="71"/>
      <c r="U61" s="72">
        <f>$G$2*T62</f>
        <v>45.792680950882755</v>
      </c>
      <c r="V61" s="71"/>
      <c r="W61" s="72">
        <f>$G$2*V62</f>
        <v>45.792680950882755</v>
      </c>
      <c r="Y61" s="72">
        <f>$G$2*X62</f>
        <v>45.792680950882755</v>
      </c>
      <c r="Z61" s="71"/>
      <c r="AA61" s="72">
        <f>$G$2*Z62</f>
        <v>45.792680950882755</v>
      </c>
      <c r="AB61" s="71"/>
      <c r="AC61" s="72">
        <f>$G$2*AB62</f>
        <v>45.792680950882755</v>
      </c>
      <c r="AD61" s="71"/>
      <c r="AE61" s="72">
        <f>$G$2*AD62</f>
        <v>45.792680950882755</v>
      </c>
    </row>
    <row r="62" spans="5:31" x14ac:dyDescent="0.25">
      <c r="E62" s="72"/>
      <c r="R62" s="56">
        <f>Q61*$G$3</f>
        <v>43.35196444139585</v>
      </c>
      <c r="T62" s="72">
        <f>$G$2*S63</f>
        <v>43.35196444139585</v>
      </c>
      <c r="U62" s="71"/>
      <c r="V62" s="72">
        <f>$G$2*U63</f>
        <v>43.35196444139585</v>
      </c>
      <c r="X62" s="72">
        <f>$G$2*W63</f>
        <v>43.35196444139585</v>
      </c>
      <c r="Y62" s="71"/>
      <c r="Z62" s="72">
        <f>$G$2*Y63</f>
        <v>43.35196444139585</v>
      </c>
      <c r="AA62" s="71"/>
      <c r="AB62" s="72">
        <f>$G$2*AA63</f>
        <v>43.35196444139585</v>
      </c>
      <c r="AC62" s="71"/>
      <c r="AD62" s="72">
        <f>$G$2*AC63</f>
        <v>43.35196444139585</v>
      </c>
      <c r="AE62" s="71"/>
    </row>
    <row r="63" spans="5:31" x14ac:dyDescent="0.25">
      <c r="E63" s="72"/>
      <c r="S63" s="56">
        <f>R62*$G$3</f>
        <v>41.041336342458038</v>
      </c>
      <c r="U63" s="72">
        <f>$G$2*T64</f>
        <v>41.041336342458038</v>
      </c>
      <c r="W63" s="72">
        <f>$G$2*V64</f>
        <v>41.041336342458038</v>
      </c>
      <c r="X63" s="71"/>
      <c r="Y63" s="72">
        <f>$G$2*X64</f>
        <v>41.041336342458038</v>
      </c>
      <c r="Z63" s="71"/>
      <c r="AA63" s="72">
        <f>$G$2*Z64</f>
        <v>41.041336342458038</v>
      </c>
      <c r="AB63" s="71"/>
      <c r="AC63" s="72">
        <f>$G$2*AB64</f>
        <v>41.041336342458038</v>
      </c>
      <c r="AD63" s="71"/>
      <c r="AE63" s="72">
        <f>$G$2*AD64</f>
        <v>41.041336342458038</v>
      </c>
    </row>
    <row r="64" spans="5:31" x14ac:dyDescent="0.25">
      <c r="E64" s="72"/>
      <c r="T64" s="56">
        <f>S63*$G$3</f>
        <v>38.85386303662812</v>
      </c>
      <c r="V64" s="72">
        <f>$G$2*U65</f>
        <v>38.85386303662812</v>
      </c>
      <c r="W64" s="71"/>
      <c r="X64" s="72">
        <f>$G$2*W65</f>
        <v>38.85386303662812</v>
      </c>
      <c r="Y64" s="71"/>
      <c r="Z64" s="72">
        <f>$G$2*Y65</f>
        <v>38.85386303662812</v>
      </c>
      <c r="AA64" s="71"/>
      <c r="AB64" s="72">
        <f>$G$2*AA65</f>
        <v>38.85386303662812</v>
      </c>
      <c r="AC64" s="71"/>
      <c r="AD64" s="72">
        <f>$G$2*AC65</f>
        <v>38.85386303662812</v>
      </c>
      <c r="AE64" s="71"/>
    </row>
    <row r="65" spans="1:31" x14ac:dyDescent="0.25">
      <c r="E65" s="72"/>
      <c r="U65" s="56">
        <f>T64*$G$3</f>
        <v>36.782980463219559</v>
      </c>
      <c r="W65" s="72">
        <f>$G$2*V66</f>
        <v>36.782980463219559</v>
      </c>
      <c r="X65" s="71"/>
      <c r="Y65" s="72">
        <f>$G$2*X66</f>
        <v>36.782980463219559</v>
      </c>
      <c r="Z65" s="71"/>
      <c r="AA65" s="72">
        <f>$G$2*Z66</f>
        <v>36.782980463219559</v>
      </c>
      <c r="AB65" s="71"/>
      <c r="AC65" s="72">
        <f>$G$2*AB66</f>
        <v>36.782980463219559</v>
      </c>
      <c r="AD65" s="71"/>
      <c r="AE65" s="72">
        <f>$G$2*AD66</f>
        <v>36.782980463219559</v>
      </c>
    </row>
    <row r="66" spans="1:31" x14ac:dyDescent="0.25">
      <c r="E66" s="72"/>
      <c r="V66" s="56">
        <f>U65*$G$3</f>
        <v>34.822474421194876</v>
      </c>
      <c r="X66" s="72">
        <f>$G$2*W67</f>
        <v>34.822474421194876</v>
      </c>
      <c r="Y66" s="71"/>
      <c r="Z66" s="72">
        <f>$G$2*Y67</f>
        <v>34.822474421194876</v>
      </c>
      <c r="AA66" s="71"/>
      <c r="AB66" s="72">
        <f>$G$2*AA67</f>
        <v>34.822474421194876</v>
      </c>
      <c r="AD66" s="72">
        <f>$G$2*AC67</f>
        <v>34.822474421194876</v>
      </c>
    </row>
    <row r="67" spans="1:31" x14ac:dyDescent="0.25">
      <c r="E67" s="72"/>
      <c r="W67" s="56">
        <f>V66*$G$3</f>
        <v>32.96646192190142</v>
      </c>
      <c r="Y67" s="72">
        <f>$G$2*X68</f>
        <v>32.96646192190142</v>
      </c>
      <c r="Z67" s="71"/>
      <c r="AA67" s="72">
        <f>$G$2*Z68</f>
        <v>32.96646192190142</v>
      </c>
      <c r="AC67" s="72">
        <f>$G$2*AB68</f>
        <v>32.96646192190142</v>
      </c>
      <c r="AE67" s="72">
        <f>$G$2*AD68</f>
        <v>32.96646192190142</v>
      </c>
    </row>
    <row r="68" spans="1:31" x14ac:dyDescent="0.25">
      <c r="E68" s="72"/>
      <c r="X68" s="56">
        <f>W67*$G$3</f>
        <v>31.209373535692727</v>
      </c>
      <c r="Z68" s="72">
        <f>$G$2*Y69</f>
        <v>31.209373535692727</v>
      </c>
      <c r="AB68" s="72">
        <f>$G$2*AA69</f>
        <v>31.209373535692727</v>
      </c>
      <c r="AC68" s="71"/>
      <c r="AD68" s="72">
        <f>$G$2*AC69</f>
        <v>31.209373535692727</v>
      </c>
      <c r="AE68" s="71"/>
    </row>
    <row r="69" spans="1:31" x14ac:dyDescent="0.25">
      <c r="E69" s="72"/>
      <c r="Y69" s="56">
        <f>X68*$G$3</f>
        <v>29.545936679462091</v>
      </c>
      <c r="AA69" s="72">
        <f>$G$2*Z70</f>
        <v>29.545936679462091</v>
      </c>
      <c r="AB69" s="71"/>
      <c r="AC69" s="72">
        <f>$G$2*AB70</f>
        <v>29.545936679462091</v>
      </c>
      <c r="AD69" s="71"/>
      <c r="AE69" s="72">
        <f>$G$2*AD70</f>
        <v>29.545936679462091</v>
      </c>
    </row>
    <row r="70" spans="1:31" x14ac:dyDescent="0.25">
      <c r="E70" s="72"/>
      <c r="Z70" s="56">
        <f>Y69*$G$3</f>
        <v>27.971159794938416</v>
      </c>
      <c r="AB70" s="72">
        <f>$G$2*AA71</f>
        <v>27.971159794938416</v>
      </c>
      <c r="AC70" s="71"/>
      <c r="AD70" s="72">
        <f>$G$2*AC71</f>
        <v>27.971159794938416</v>
      </c>
      <c r="AE70" s="71"/>
    </row>
    <row r="71" spans="1:31" x14ac:dyDescent="0.25">
      <c r="E71" s="72"/>
      <c r="AA71" s="56">
        <f>Z70*$G$3</f>
        <v>26.48031737026735</v>
      </c>
      <c r="AC71" s="72">
        <f>$G$2*AB72</f>
        <v>26.48031737026735</v>
      </c>
      <c r="AD71" s="71"/>
      <c r="AE71" s="72">
        <f>$G$2*AD72</f>
        <v>26.48031737026735</v>
      </c>
    </row>
    <row r="72" spans="1:31" x14ac:dyDescent="0.25">
      <c r="E72" s="72"/>
      <c r="AB72" s="56">
        <f>AA71*$G$3</f>
        <v>25.068935759931247</v>
      </c>
      <c r="AD72" s="72">
        <f>$G$2*AC73</f>
        <v>25.068935759931247</v>
      </c>
      <c r="AE72" s="71"/>
    </row>
    <row r="73" spans="1:31" x14ac:dyDescent="0.25">
      <c r="E73" s="72"/>
      <c r="AC73" s="56">
        <f>AB72*$G$3</f>
        <v>23.732779760457028</v>
      </c>
      <c r="AD73" s="71"/>
      <c r="AE73" s="72">
        <f>$G$2*AD74</f>
        <v>23.732779760457024</v>
      </c>
    </row>
    <row r="74" spans="1:31" x14ac:dyDescent="0.25">
      <c r="E74" s="72"/>
      <c r="AD74" s="56">
        <f>AC73*$G$3</f>
        <v>22.467839901629052</v>
      </c>
      <c r="AE74" s="71"/>
    </row>
    <row r="75" spans="1:31" x14ac:dyDescent="0.25">
      <c r="E75" s="72"/>
      <c r="AE75" s="56">
        <f>AD74*$G$3</f>
        <v>21.270320415071069</v>
      </c>
    </row>
    <row r="76" spans="1:31" x14ac:dyDescent="0.25">
      <c r="A76" s="74"/>
      <c r="B76" s="74"/>
      <c r="C76" s="74"/>
      <c r="D76" s="74"/>
      <c r="E76" s="75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</row>
    <row r="77" spans="1:31" x14ac:dyDescent="0.25">
      <c r="A77" s="73"/>
      <c r="G77" s="72"/>
    </row>
    <row r="78" spans="1:31" x14ac:dyDescent="0.25">
      <c r="A78" s="73"/>
      <c r="G78" s="72"/>
      <c r="AE78" s="72">
        <f>IF(AE15&lt;=$B$2,0,IF(AE15&lt;=$B$3,$B$3-AE15,IF(AE15&lt;=$B$4,AE15-$B$3,0)))</f>
        <v>0</v>
      </c>
    </row>
    <row r="79" spans="1:31" x14ac:dyDescent="0.25">
      <c r="A79" s="73"/>
      <c r="G79" s="72"/>
      <c r="AD79" s="72">
        <f>(($G$4*AE78)+((1-$G$4)*AE80))*EXP(-$B$6*$G$1)</f>
        <v>0</v>
      </c>
    </row>
    <row r="80" spans="1:31" x14ac:dyDescent="0.25">
      <c r="A80" s="73"/>
      <c r="G80" s="72"/>
      <c r="AC80" s="72">
        <f>(($G$4*AD79)+((1-$G$4)*AD81))*EXP(-$B$6*$G$1)</f>
        <v>0</v>
      </c>
      <c r="AE80" s="72">
        <f>IF(AE17&lt;=$B$2,0,IF(AE17&lt;=$B$3,$B$3-AE17,IF(AE17&lt;=$B$4,AE17-$B$3,0)))</f>
        <v>0</v>
      </c>
    </row>
    <row r="81" spans="1:31" x14ac:dyDescent="0.25">
      <c r="A81" s="73"/>
      <c r="G81" s="72"/>
      <c r="AB81" s="72">
        <f>(($G$4*AC80)+((1-$G$4)*AC82))*EXP(-$B$6*$G$1)</f>
        <v>0</v>
      </c>
      <c r="AD81" s="72">
        <f>(($G$4*AE80)+((1-$G$4)*AE82))*EXP(-$B$6*$G$1)</f>
        <v>0</v>
      </c>
    </row>
    <row r="82" spans="1:31" x14ac:dyDescent="0.25">
      <c r="A82" s="73"/>
      <c r="G82" s="72"/>
      <c r="AA82" s="72">
        <f>(($G$4*AB81)+((1-$G$4)*AB83))*EXP(-$B$6*$G$1)</f>
        <v>0</v>
      </c>
      <c r="AC82" s="72">
        <f>(($G$4*AD81)+((1-$G$4)*AD83))*EXP(-$B$6*$G$1)</f>
        <v>0</v>
      </c>
      <c r="AE82" s="72">
        <f>IF(AE19&lt;=$B$2,0,IF(AE19&lt;=$B$3,$B$3-AE19,IF(AE19&lt;=$B$4,AE19-$B$3,0)))</f>
        <v>0</v>
      </c>
    </row>
    <row r="83" spans="1:31" x14ac:dyDescent="0.25">
      <c r="A83" s="73"/>
      <c r="G83" s="72"/>
      <c r="Z83" s="72">
        <f>(($G$4*AA82)+((1-$G$4)*AA84))*EXP(-$B$6*$G$1)</f>
        <v>0</v>
      </c>
      <c r="AB83" s="72">
        <f>(($G$4*AC82)+((1-$G$4)*AC84))*EXP(-$B$6*$G$1)</f>
        <v>0</v>
      </c>
      <c r="AD83" s="72">
        <f>(($G$4*AE82)+((1-$G$4)*AE84))*EXP(-$B$6*$G$1)</f>
        <v>0</v>
      </c>
    </row>
    <row r="84" spans="1:31" x14ac:dyDescent="0.25">
      <c r="A84" s="73"/>
      <c r="G84" s="72"/>
      <c r="Y84" s="72">
        <f>(($G$4*Z83)+((1-$G$4)*Z85))*EXP(-$B$6*$G$1)</f>
        <v>0</v>
      </c>
      <c r="AA84" s="72">
        <f>(($G$4*AB83)+((1-$G$4)*AB85))*EXP(-$B$6*$G$1)</f>
        <v>0</v>
      </c>
      <c r="AC84" s="72">
        <f>(($G$4*AD83)+((1-$G$4)*AD85))*EXP(-$B$6*$G$1)</f>
        <v>0</v>
      </c>
      <c r="AE84" s="72">
        <f>IF(AE21&lt;=$B$2,0,IF(AE21&lt;=$B$3,$B$3-AE21,IF(AE21&lt;=$B$4,AE21-$B$3,0)))</f>
        <v>0</v>
      </c>
    </row>
    <row r="85" spans="1:31" x14ac:dyDescent="0.25">
      <c r="A85" s="73"/>
      <c r="G85" s="72"/>
      <c r="X85" s="72">
        <f>(($G$4*Y84)+((1-$G$4)*Y86))*EXP(-$B$6*$G$1)</f>
        <v>0</v>
      </c>
      <c r="Z85" s="72">
        <f>(($G$4*AA84)+((1-$G$4)*AA86))*EXP(-$B$6*$G$1)</f>
        <v>0</v>
      </c>
      <c r="AB85" s="72">
        <f>(($G$4*AC84)+((1-$G$4)*AC86))*EXP(-$B$6*$G$1)</f>
        <v>0</v>
      </c>
      <c r="AD85" s="72">
        <f>(($G$4*AE84)+((1-$G$4)*AE86))*EXP(-$B$6*$G$1)</f>
        <v>0</v>
      </c>
    </row>
    <row r="86" spans="1:31" x14ac:dyDescent="0.25">
      <c r="A86" s="73"/>
      <c r="G86" s="72"/>
      <c r="W86" s="72">
        <f>(($G$4*X85)+((1-$G$4)*X87))*EXP(-$B$6*$G$1)</f>
        <v>0</v>
      </c>
      <c r="Y86" s="72">
        <f>(($G$4*Z85)+((1-$G$4)*Z87))*EXP(-$B$6*$G$1)</f>
        <v>0</v>
      </c>
      <c r="AA86" s="72">
        <f>(($G$4*AB85)+((1-$G$4)*AB87))*EXP(-$B$6*$G$1)</f>
        <v>0</v>
      </c>
      <c r="AC86" s="72">
        <f>(($G$4*AD85)+((1-$G$4)*AD87))*EXP(-$B$6*$G$1)</f>
        <v>0</v>
      </c>
      <c r="AE86" s="72">
        <f>IF(AE23&lt;=$B$2,0,IF(AE23&lt;=$B$3,$B$3-AE23,IF(AE23&lt;=$B$4,AE23-$B$3,0)))</f>
        <v>0</v>
      </c>
    </row>
    <row r="87" spans="1:31" x14ac:dyDescent="0.25">
      <c r="A87" s="73"/>
      <c r="G87" s="72"/>
      <c r="V87" s="72">
        <f>(($G$4*W86)+((1-$G$4)*W88))*EXP(-$B$6*$G$1)</f>
        <v>0</v>
      </c>
      <c r="X87" s="72">
        <f>(($G$4*Y86)+((1-$G$4)*Y88))*EXP(-$B$6*$G$1)</f>
        <v>0</v>
      </c>
      <c r="Z87" s="72">
        <f>(($G$4*AA86)+((1-$G$4)*AA88))*EXP(-$B$6*$G$1)</f>
        <v>0</v>
      </c>
      <c r="AB87" s="72">
        <f>(($G$4*AC86)+((1-$G$4)*AC88))*EXP(-$B$6*$G$1)</f>
        <v>0</v>
      </c>
      <c r="AD87" s="72">
        <f>(($G$4*AE86)+((1-$G$4)*AE88))*EXP(-$B$6*$G$1)</f>
        <v>0</v>
      </c>
    </row>
    <row r="88" spans="1:31" x14ac:dyDescent="0.25">
      <c r="A88" s="73"/>
      <c r="G88" s="72"/>
      <c r="U88" s="72">
        <f>(($G$4*V87)+((1-$G$4)*V89))*EXP(-$B$6*$G$1)</f>
        <v>0</v>
      </c>
      <c r="W88" s="72">
        <f>(($G$4*X87)+((1-$G$4)*X89))*EXP(-$B$6*$G$1)</f>
        <v>0</v>
      </c>
      <c r="Y88" s="72">
        <f>(($G$4*Z87)+((1-$G$4)*Z89))*EXP(-$B$6*$G$1)</f>
        <v>0</v>
      </c>
      <c r="AA88" s="72">
        <f>(($G$4*AB87)+((1-$G$4)*AB89))*EXP(-$B$6*$G$1)</f>
        <v>0</v>
      </c>
      <c r="AC88" s="72">
        <f>(($G$4*AD87)+((1-$G$4)*AD89))*EXP(-$B$6*$G$1)</f>
        <v>0</v>
      </c>
      <c r="AE88" s="72">
        <f>IF(AE25&lt;=$B$2,0,IF(AE25&lt;=$B$3,$B$3-AE25,IF(AE25&lt;=$B$4,AE25-$B$3,0)))</f>
        <v>0</v>
      </c>
    </row>
    <row r="89" spans="1:31" x14ac:dyDescent="0.25">
      <c r="A89" s="73"/>
      <c r="G89" s="72"/>
      <c r="T89" s="72">
        <f>(($G$4*U88)+((1-$G$4)*U90))*EXP(-$B$6*$G$1)</f>
        <v>0</v>
      </c>
      <c r="V89" s="72">
        <f>(($G$4*W88)+((1-$G$4)*W90))*EXP(-$B$6*$G$1)</f>
        <v>0</v>
      </c>
      <c r="X89" s="72">
        <f>(($G$4*Y88)+((1-$G$4)*Y90))*EXP(-$B$6*$G$1)</f>
        <v>0</v>
      </c>
      <c r="Z89" s="72">
        <f>(($G$4*AA88)+((1-$G$4)*AA90))*EXP(-$B$6*$G$1)</f>
        <v>0</v>
      </c>
      <c r="AB89" s="72">
        <f>(($G$4*AC88)+((1-$G$4)*AC90))*EXP(-$B$6*$G$1)</f>
        <v>0</v>
      </c>
      <c r="AD89" s="72">
        <f>(($G$4*AE88)+((1-$G$4)*AE90))*EXP(-$B$6*$G$1)</f>
        <v>0</v>
      </c>
    </row>
    <row r="90" spans="1:31" x14ac:dyDescent="0.25">
      <c r="A90" s="73"/>
      <c r="G90" s="72"/>
      <c r="S90" s="72">
        <f>(($G$4*T89)+((1-$G$4)*T91))*EXP(-$B$6*$G$1)</f>
        <v>0</v>
      </c>
      <c r="U90" s="72">
        <f>(($G$4*V89)+((1-$G$4)*V91))*EXP(-$B$6*$G$1)</f>
        <v>0</v>
      </c>
      <c r="W90" s="72">
        <f>(($G$4*X89)+((1-$G$4)*X91))*EXP(-$B$6*$G$1)</f>
        <v>0</v>
      </c>
      <c r="Y90" s="72">
        <f>(($G$4*Z89)+((1-$G$4)*Z91))*EXP(-$B$6*$G$1)</f>
        <v>0</v>
      </c>
      <c r="AA90" s="72">
        <f>(($G$4*AB89)+((1-$G$4)*AB91))*EXP(-$B$6*$G$1)</f>
        <v>0</v>
      </c>
      <c r="AC90" s="72">
        <f>(($G$4*AD89)+((1-$G$4)*AD91))*EXP(-$B$6*$G$1)</f>
        <v>0</v>
      </c>
      <c r="AE90" s="72">
        <f>IF(AE27&lt;=$B$2,0,IF(AE27&lt;=$B$3,$B$3-AE27,IF(AE27&lt;=$B$4,AE27-$B$3,0)))</f>
        <v>0</v>
      </c>
    </row>
    <row r="91" spans="1:31" x14ac:dyDescent="0.25">
      <c r="A91" s="73"/>
      <c r="G91" s="72"/>
      <c r="R91" s="72">
        <f>(($G$4*S90)+((1-$G$4)*S92))*EXP(-$B$6*$G$1)</f>
        <v>0</v>
      </c>
      <c r="T91" s="72">
        <f>(($G$4*U90)+((1-$G$4)*U92))*EXP(-$B$6*$G$1)</f>
        <v>0</v>
      </c>
      <c r="V91" s="72">
        <f>(($G$4*W90)+((1-$G$4)*W92))*EXP(-$B$6*$G$1)</f>
        <v>0</v>
      </c>
      <c r="X91" s="72">
        <f>(($G$4*Y90)+((1-$G$4)*Y92))*EXP(-$B$6*$G$1)</f>
        <v>0</v>
      </c>
      <c r="Z91" s="72">
        <f>(($G$4*AA90)+((1-$G$4)*AA92))*EXP(-$B$6*$G$1)</f>
        <v>0</v>
      </c>
      <c r="AB91" s="72">
        <f>(($G$4*AC90)+((1-$G$4)*AC92))*EXP(-$B$6*$G$1)</f>
        <v>0</v>
      </c>
      <c r="AD91" s="72">
        <f>(($G$4*AE90)+((1-$G$4)*AE92))*EXP(-$B$6*$G$1)</f>
        <v>0</v>
      </c>
    </row>
    <row r="92" spans="1:31" x14ac:dyDescent="0.25">
      <c r="A92" s="73"/>
      <c r="G92" s="72"/>
      <c r="Q92" s="72">
        <f>(($G$4*R91)+((1-$G$4)*R93))*EXP(-$B$6*$G$1)</f>
        <v>0</v>
      </c>
      <c r="S92" s="72">
        <f>(($G$4*T91)+((1-$G$4)*T93))*EXP(-$B$6*$G$1)</f>
        <v>0</v>
      </c>
      <c r="U92" s="72">
        <f>(($G$4*V91)+((1-$G$4)*V93))*EXP(-$B$6*$G$1)</f>
        <v>0</v>
      </c>
      <c r="W92" s="72">
        <f>(($G$4*X91)+((1-$G$4)*X93))*EXP(-$B$6*$G$1)</f>
        <v>0</v>
      </c>
      <c r="Y92" s="72">
        <f>(($G$4*Z91)+((1-$G$4)*Z93))*EXP(-$B$6*$G$1)</f>
        <v>0</v>
      </c>
      <c r="AA92" s="72">
        <f>(($G$4*AB91)+((1-$G$4)*AB93))*EXP(-$B$6*$G$1)</f>
        <v>0</v>
      </c>
      <c r="AC92" s="72">
        <f>(($G$4*AD91)+((1-$G$4)*AD93))*EXP(-$B$6*$G$1)</f>
        <v>0</v>
      </c>
      <c r="AE92" s="72">
        <f>IF(AE29&lt;=$B$2,0,IF(AE29&lt;=$B$3,$B$3-AE29,IF(AE29&lt;=$B$4,AE29-$B$3,0)))</f>
        <v>0</v>
      </c>
    </row>
    <row r="93" spans="1:31" x14ac:dyDescent="0.25">
      <c r="A93" s="73"/>
      <c r="G93" s="72"/>
      <c r="P93" s="72">
        <f>(($G$4*Q92)+((1-$G$4)*Q94))*EXP(-$B$6*$G$1)</f>
        <v>3.427823151743143E-4</v>
      </c>
      <c r="R93" s="72">
        <f>(($G$4*S92)+((1-$G$4)*S94))*EXP(-$B$6*$G$1)</f>
        <v>0</v>
      </c>
      <c r="T93" s="72">
        <f>(($G$4*U92)+((1-$G$4)*U94))*EXP(-$B$6*$G$1)</f>
        <v>0</v>
      </c>
      <c r="V93" s="72">
        <f>(($G$4*W92)+((1-$G$4)*W94))*EXP(-$B$6*$G$1)</f>
        <v>0</v>
      </c>
      <c r="X93" s="72">
        <f>(($G$4*Y92)+((1-$G$4)*Y94))*EXP(-$B$6*$G$1)</f>
        <v>0</v>
      </c>
      <c r="Z93" s="72">
        <f>(($G$4*AA92)+((1-$G$4)*AA94))*EXP(-$B$6*$G$1)</f>
        <v>0</v>
      </c>
      <c r="AB93" s="72">
        <f>(($G$4*AC92)+((1-$G$4)*AC94))*EXP(-$B$6*$G$1)</f>
        <v>0</v>
      </c>
      <c r="AD93" s="72">
        <f>(($G$4*AE92)+((1-$G$4)*AE94))*EXP(-$B$6*$G$1)</f>
        <v>0</v>
      </c>
    </row>
    <row r="94" spans="1:31" x14ac:dyDescent="0.25">
      <c r="A94" s="73"/>
      <c r="G94" s="72"/>
      <c r="O94" s="72">
        <f>(($G$4*P93)+((1-$G$4)*P95))*EXP(-$B$6*$G$1)</f>
        <v>2.7380354035023758E-3</v>
      </c>
      <c r="Q94" s="72">
        <f>(($G$4*R93)+((1-$G$4)*R95))*EXP(-$B$6*$G$1)</f>
        <v>6.802739602215002E-4</v>
      </c>
      <c r="S94" s="72">
        <f>(($G$4*T93)+((1-$G$4)*T95))*EXP(-$B$6*$G$1)</f>
        <v>0</v>
      </c>
      <c r="U94" s="72">
        <f>(($G$4*V93)+((1-$G$4)*V95))*EXP(-$B$6*$G$1)</f>
        <v>0</v>
      </c>
      <c r="W94" s="72">
        <f>(($G$4*X93)+((1-$G$4)*X95))*EXP(-$B$6*$G$1)</f>
        <v>0</v>
      </c>
      <c r="Y94" s="72">
        <f>(($G$4*Z93)+((1-$G$4)*Z95))*EXP(-$B$6*$G$1)</f>
        <v>0</v>
      </c>
      <c r="AA94" s="72">
        <f>(($G$4*AB93)+((1-$G$4)*AB95))*EXP(-$B$6*$G$1)</f>
        <v>0</v>
      </c>
      <c r="AC94" s="72">
        <f>(($G$4*AD93)+((1-$G$4)*AD95))*EXP(-$B$6*$G$1)</f>
        <v>0</v>
      </c>
      <c r="AE94" s="72">
        <f>IF(AE31&lt;=$B$2,0,IF(AE31&lt;=$B$3,$B$3-AE31,IF(AE31&lt;=$B$4,AE31-$B$3,0)))</f>
        <v>0</v>
      </c>
    </row>
    <row r="95" spans="1:31" x14ac:dyDescent="0.25">
      <c r="A95" s="73"/>
      <c r="G95" s="72"/>
      <c r="N95" s="72">
        <f>(($G$4*O94)+((1-$G$4)*O96))*EXP(-$B$6*$G$1)</f>
        <v>1.1719135055792938E-2</v>
      </c>
      <c r="P95" s="72">
        <f>(($G$4*Q94)+((1-$G$4)*Q96))*EXP(-$B$6*$G$1)</f>
        <v>5.0972254101379795E-3</v>
      </c>
      <c r="R95" s="72">
        <f>(($G$4*S94)+((1-$G$4)*S96))*EXP(-$B$6*$G$1)</f>
        <v>1.3500482389825464E-3</v>
      </c>
      <c r="T95" s="72">
        <f>(($G$4*U94)+((1-$G$4)*U96))*EXP(-$B$6*$G$1)</f>
        <v>0</v>
      </c>
      <c r="V95" s="72">
        <f>(($G$4*W94)+((1-$G$4)*W96))*EXP(-$B$6*$G$1)</f>
        <v>0</v>
      </c>
      <c r="X95" s="72">
        <f>(($G$4*Y94)+((1-$G$4)*Y96))*EXP(-$B$6*$G$1)</f>
        <v>0</v>
      </c>
      <c r="Z95" s="72">
        <f>(($G$4*AA94)+((1-$G$4)*AA96))*EXP(-$B$6*$G$1)</f>
        <v>0</v>
      </c>
      <c r="AB95" s="72">
        <f>(($G$4*AC94)+((1-$G$4)*AC96))*EXP(-$B$6*$G$1)</f>
        <v>0</v>
      </c>
      <c r="AD95" s="72">
        <f>(($G$4*AE94)+((1-$G$4)*AE96))*EXP(-$B$6*$G$1)</f>
        <v>0</v>
      </c>
    </row>
    <row r="96" spans="1:31" x14ac:dyDescent="0.25">
      <c r="A96" s="73"/>
      <c r="G96" s="72"/>
      <c r="M96" s="72">
        <f>(($G$4*N95)+((1-$G$4)*N97))*EXP(-$B$6*$G$1)</f>
        <v>3.5696696653265442E-2</v>
      </c>
      <c r="O96" s="72">
        <f>(($G$4*P95)+((1-$G$4)*P97))*EXP(-$B$6*$G$1)</f>
        <v>2.0568856270561722E-2</v>
      </c>
      <c r="Q96" s="72">
        <f>(($G$4*R95)+((1-$G$4)*R97))*EXP(-$B$6*$G$1)</f>
        <v>9.4478023330209215E-3</v>
      </c>
      <c r="S96" s="72">
        <f>(($G$4*T95)+((1-$G$4)*T97))*EXP(-$B$6*$G$1)</f>
        <v>2.6792591722699754E-3</v>
      </c>
      <c r="U96" s="72">
        <f>(($G$4*V95)+((1-$G$4)*V97))*EXP(-$B$6*$G$1)</f>
        <v>0</v>
      </c>
      <c r="W96" s="72">
        <f>(($G$4*X95)+((1-$G$4)*X97))*EXP(-$B$6*$G$1)</f>
        <v>0</v>
      </c>
      <c r="Y96" s="72">
        <f>(($G$4*Z95)+((1-$G$4)*Z97))*EXP(-$B$6*$G$1)</f>
        <v>0</v>
      </c>
      <c r="AA96" s="72">
        <f>(($G$4*AB95)+((1-$G$4)*AB97))*EXP(-$B$6*$G$1)</f>
        <v>0</v>
      </c>
      <c r="AC96" s="72">
        <f>(($G$4*AD95)+((1-$G$4)*AD97))*EXP(-$B$6*$G$1)</f>
        <v>0</v>
      </c>
      <c r="AE96" s="72">
        <f>IF(AE33&lt;=$B$2,0,IF(AE33&lt;=$B$3,$B$3-AE33,IF(AE33&lt;=$B$4,AE33-$B$3,0)))</f>
        <v>0</v>
      </c>
    </row>
    <row r="97" spans="1:31" x14ac:dyDescent="0.25">
      <c r="A97" s="73"/>
      <c r="G97" s="72"/>
      <c r="L97" s="72">
        <f>(($G$4*M96)+((1-$G$4)*M98))*EXP(-$B$6*$G$1)</f>
        <v>8.6731586923676884E-2</v>
      </c>
      <c r="N97" s="72">
        <f>(($G$4*O96)+((1-$G$4)*O98))*EXP(-$B$6*$G$1)</f>
        <v>5.9335166013172819E-2</v>
      </c>
      <c r="P97" s="72">
        <f>(($G$4*Q96)+((1-$G$4)*Q98))*EXP(-$B$6*$G$1)</f>
        <v>3.5815169119041063E-2</v>
      </c>
      <c r="R97" s="72">
        <f>(($G$4*S96)+((1-$G$4)*S98))*EXP(-$B$6*$G$1)</f>
        <v>1.7424141689623043E-2</v>
      </c>
      <c r="T97" s="72">
        <f>(($G$4*U96)+((1-$G$4)*U98))*EXP(-$B$6*$G$1)</f>
        <v>5.3171653463307085E-3</v>
      </c>
      <c r="V97" s="72">
        <f>(($G$4*W96)+((1-$G$4)*W98))*EXP(-$B$6*$G$1)</f>
        <v>0</v>
      </c>
      <c r="X97" s="72">
        <f>(($G$4*Y96)+((1-$G$4)*Y98))*EXP(-$B$6*$G$1)</f>
        <v>0</v>
      </c>
      <c r="Z97" s="72">
        <f>(($G$4*AA96)+((1-$G$4)*AA98))*EXP(-$B$6*$G$1)</f>
        <v>0</v>
      </c>
      <c r="AB97" s="72">
        <f>(($G$4*AC96)+((1-$G$4)*AC98))*EXP(-$B$6*$G$1)</f>
        <v>0</v>
      </c>
      <c r="AD97" s="72">
        <f>(($G$4*AE96)+((1-$G$4)*AE98))*EXP(-$B$6*$G$1)</f>
        <v>0</v>
      </c>
    </row>
    <row r="98" spans="1:31" x14ac:dyDescent="0.25">
      <c r="A98" s="73"/>
      <c r="G98" s="72"/>
      <c r="K98" s="72">
        <f>(($G$4*L97)+((1-$G$4)*L99))*EXP(-$B$6*$G$1)</f>
        <v>0.17866619336270317</v>
      </c>
      <c r="M98" s="72">
        <f>(($G$4*N97)+((1-$G$4)*N99))*EXP(-$B$6*$G$1)</f>
        <v>0.13707317333802121</v>
      </c>
      <c r="O98" s="72">
        <f>(($G$4*P97)+((1-$G$4)*P99))*EXP(-$B$6*$G$1)</f>
        <v>9.7557528267526422E-2</v>
      </c>
      <c r="Q98" s="72">
        <f>(($G$4*R97)+((1-$G$4)*R99))*EXP(-$B$6*$G$1)</f>
        <v>6.1800552104033638E-2</v>
      </c>
      <c r="S98" s="72">
        <f>(($G$4*T97)+((1-$G$4)*T99))*EXP(-$B$6*$G$1)</f>
        <v>3.1948529298548099E-2</v>
      </c>
      <c r="U98" s="72">
        <f>(($G$4*V97)+((1-$G$4)*V99))*EXP(-$B$6*$G$1)</f>
        <v>1.0552262958669574E-2</v>
      </c>
      <c r="W98" s="72">
        <f>(($G$4*X97)+((1-$G$4)*X99))*EXP(-$B$6*$G$1)</f>
        <v>0</v>
      </c>
      <c r="Y98" s="72">
        <f>(($G$4*Z97)+((1-$G$4)*Z99))*EXP(-$B$6*$G$1)</f>
        <v>0</v>
      </c>
      <c r="AA98" s="72">
        <f>(($G$4*AB97)+((1-$G$4)*AB99))*EXP(-$B$6*$G$1)</f>
        <v>0</v>
      </c>
      <c r="AC98" s="72">
        <f>(($G$4*AD97)+((1-$G$4)*AD99))*EXP(-$B$6*$G$1)</f>
        <v>0</v>
      </c>
      <c r="AE98" s="72">
        <f>IF(AE35&lt;=$B$2,0,IF(AE35&lt;=$B$3,$B$3-AE35,IF(AE35&lt;=$B$4,AE35-$B$3,0)))</f>
        <v>0</v>
      </c>
    </row>
    <row r="99" spans="1:31" x14ac:dyDescent="0.25">
      <c r="A99" s="73"/>
      <c r="G99" s="72"/>
      <c r="J99" s="72">
        <f>(($G$4*K98)+((1-$G$4)*K100))*EXP(-$B$6*$G$1)</f>
        <v>0.32397084939228954</v>
      </c>
      <c r="L99" s="72">
        <f>(($G$4*M98)+((1-$G$4)*M100))*EXP(-$B$6*$G$1)</f>
        <v>0.26941118248490903</v>
      </c>
      <c r="N99" s="72">
        <f>(($G$4*O98)+((1-$G$4)*O100))*EXP(-$B$6*$G$1)</f>
        <v>0.21376823559412603</v>
      </c>
      <c r="P99" s="72">
        <f>(($G$4*Q98)+((1-$G$4)*Q100))*EXP(-$B$6*$G$1)</f>
        <v>0.1584416325209817</v>
      </c>
      <c r="R99" s="72">
        <f>(($G$4*S98)+((1-$G$4)*S100))*EXP(-$B$6*$G$1)</f>
        <v>0.10553811034445136</v>
      </c>
      <c r="T99" s="72">
        <f>(($G$4*U98)+((1-$G$4)*U100))*EXP(-$B$6*$G$1)</f>
        <v>5.8182912045365624E-2</v>
      </c>
      <c r="V99" s="72">
        <f>(($G$4*W98)+((1-$G$4)*W100))*EXP(-$B$6*$G$1)</f>
        <v>2.0941657122953865E-2</v>
      </c>
      <c r="X99" s="72">
        <f>(($G$4*Y98)+((1-$G$4)*Y100))*EXP(-$B$6*$G$1)</f>
        <v>0</v>
      </c>
      <c r="Z99" s="72">
        <f>(($G$4*AA98)+((1-$G$4)*AA100))*EXP(-$B$6*$G$1)</f>
        <v>0</v>
      </c>
      <c r="AB99" s="72">
        <f>(($G$4*AC98)+((1-$G$4)*AC100))*EXP(-$B$6*$G$1)</f>
        <v>0</v>
      </c>
      <c r="AD99" s="72">
        <f>(($G$4*AE98)+((1-$G$4)*AE100))*EXP(-$B$6*$G$1)</f>
        <v>0</v>
      </c>
    </row>
    <row r="100" spans="1:31" x14ac:dyDescent="0.25">
      <c r="A100" s="73"/>
      <c r="G100" s="72"/>
      <c r="I100" s="72">
        <f>(($G$4*J99)+((1-$G$4)*J101))*EXP(-$B$6*$G$1)</f>
        <v>0.53020526975994464</v>
      </c>
      <c r="K100" s="72">
        <f>(($G$4*L99)+((1-$G$4)*L101))*EXP(-$B$6*$G$1)</f>
        <v>0.46750525351505279</v>
      </c>
      <c r="M100" s="72">
        <f>(($G$4*N99)+((1-$G$4)*N101))*EXP(-$B$6*$G$1)</f>
        <v>0.4000690878791654</v>
      </c>
      <c r="O100" s="72">
        <f>(($G$4*P99)+((1-$G$4)*P101))*EXP(-$B$6*$G$1)</f>
        <v>0.32844326367109566</v>
      </c>
      <c r="Q100" s="72">
        <f>(($G$4*R99)+((1-$G$4)*R101))*EXP(-$B$6*$G$1)</f>
        <v>0.25375452786125136</v>
      </c>
      <c r="S100" s="72">
        <f>(($G$4*T99)+((1-$G$4)*T101))*EXP(-$B$6*$G$1)</f>
        <v>0.17807635602172628</v>
      </c>
      <c r="U100" s="72">
        <f>(($G$4*V99)+((1-$G$4)*V101))*EXP(-$B$6*$G$1)</f>
        <v>0.1051063099703131</v>
      </c>
      <c r="W100" s="72">
        <f>(($G$4*X99)+((1-$G$4)*X101))*EXP(-$B$6*$G$1)</f>
        <v>4.1560090453873315E-2</v>
      </c>
      <c r="Y100" s="72">
        <f>(($G$4*Z99)+((1-$G$4)*Z101))*EXP(-$B$6*$G$1)</f>
        <v>0</v>
      </c>
      <c r="AA100" s="72">
        <f>(($G$4*AB99)+((1-$G$4)*AB101))*EXP(-$B$6*$G$1)</f>
        <v>0</v>
      </c>
      <c r="AC100" s="72">
        <f>(($G$4*AD99)+((1-$G$4)*AD101))*EXP(-$B$6*$G$1)</f>
        <v>0</v>
      </c>
      <c r="AE100" s="72">
        <f>IF(AE37&lt;=$B$2,0,IF(AE37&lt;=$B$3,$B$3-AE37,IF(AE37&lt;=$B$4,AE37-$B$3,0)))</f>
        <v>0</v>
      </c>
    </row>
    <row r="101" spans="1:31" x14ac:dyDescent="0.25">
      <c r="A101" s="73"/>
      <c r="G101" s="72"/>
      <c r="H101" s="72">
        <f>(($G$4*I100)+((1-$G$4)*I102))*EXP(-$B$6*$G$1)</f>
        <v>0.79715928924120405</v>
      </c>
      <c r="J101" s="72">
        <f>(($G$4*K100)+((1-$G$4)*K102))*EXP(-$B$6*$G$1)</f>
        <v>0.73411325099793989</v>
      </c>
      <c r="L101" s="72">
        <f>(($G$4*M100)+((1-$G$4)*M102))*EXP(-$B$6*$G$1)</f>
        <v>0.66325425411328587</v>
      </c>
      <c r="N101" s="72">
        <f>(($G$4*O100)+((1-$G$4)*O102))*EXP(-$B$6*$G$1)</f>
        <v>0.58405975406210398</v>
      </c>
      <c r="P101" s="72">
        <f>(($G$4*Q100)+((1-$G$4)*Q102))*EXP(-$B$6*$G$1)</f>
        <v>0.49623997741215198</v>
      </c>
      <c r="R101" s="72">
        <f>(($G$4*S100)+((1-$G$4)*S102))*EXP(-$B$6*$G$1)</f>
        <v>0.39996237756811998</v>
      </c>
      <c r="T101" s="72">
        <f>(($G$4*U100)+((1-$G$4)*U102))*EXP(-$B$6*$G$1)</f>
        <v>0.29627316034189205</v>
      </c>
      <c r="V101" s="72">
        <f>(($G$4*W100)+((1-$G$4)*W102))*EXP(-$B$6*$G$1)</f>
        <v>0.18802730087475139</v>
      </c>
      <c r="X101" s="72">
        <f>(($G$4*Y100)+((1-$G$4)*Y102))*EXP(-$B$6*$G$1)</f>
        <v>8.2478722117980172E-2</v>
      </c>
      <c r="Z101" s="72">
        <f>(($G$4*AA100)+((1-$G$4)*AA102))*EXP(-$B$6*$G$1)</f>
        <v>0</v>
      </c>
      <c r="AB101" s="72">
        <f>(($G$4*AC100)+((1-$G$4)*AC102))*EXP(-$B$6*$G$1)</f>
        <v>0</v>
      </c>
      <c r="AD101" s="72">
        <f>(($G$4*AE100)+((1-$G$4)*AE102))*EXP(-$B$6*$G$1)</f>
        <v>0</v>
      </c>
    </row>
    <row r="102" spans="1:31" x14ac:dyDescent="0.25">
      <c r="A102" s="73"/>
      <c r="G102" s="72">
        <f>(($G$4*H101)+((1-$G$4)*H103))*EXP(-$B$6*$G$1)</f>
        <v>1.1155177914714065</v>
      </c>
      <c r="I102" s="72">
        <f>(($G$4*J101)+((1-$G$4)*J103))*EXP(-$B$6*$G$1)</f>
        <v>1.0613950442055418</v>
      </c>
      <c r="K102" s="72">
        <f>(($G$4*L101)+((1-$G$4)*L103))*EXP(-$B$6*$G$1)</f>
        <v>0.9978425254745843</v>
      </c>
      <c r="M102" s="72">
        <f>(($G$4*N101)+((1-$G$4)*N103))*EXP(-$B$6*$G$1)</f>
        <v>0.92343520391880851</v>
      </c>
      <c r="O102" s="72">
        <f>(($G$4*P101)+((1-$G$4)*P103))*EXP(-$B$6*$G$1)</f>
        <v>0.83659944478300252</v>
      </c>
      <c r="Q102" s="72">
        <f>(($G$4*R101)+((1-$G$4)*R103))*EXP(-$B$6*$G$1)</f>
        <v>0.73565379698603495</v>
      </c>
      <c r="S102" s="72">
        <f>(($G$4*T101)+((1-$G$4)*T103))*EXP(-$B$6*$G$1)</f>
        <v>0.61889459318615114</v>
      </c>
      <c r="U102" s="72">
        <f>(($G$4*V101)+((1-$G$4)*V103))*EXP(-$B$6*$G$1)</f>
        <v>0.48476738306812528</v>
      </c>
      <c r="W102" s="72">
        <f>(($G$4*X101)+((1-$G$4)*X103))*EXP(-$B$6*$G$1)</f>
        <v>0.33234376298656543</v>
      </c>
      <c r="Y102" s="72">
        <f>(($G$4*Z101)+((1-$G$4)*Z103))*EXP(-$B$6*$G$1)</f>
        <v>0.16368442724553767</v>
      </c>
      <c r="AA102" s="72">
        <f>(($G$4*AB101)+((1-$G$4)*AB103))*EXP(-$B$6*$G$1)</f>
        <v>0</v>
      </c>
      <c r="AC102" s="72">
        <f>(($G$4*AD101)+((1-$G$4)*AD103))*EXP(-$B$6*$G$1)</f>
        <v>0</v>
      </c>
      <c r="AE102" s="72">
        <f>IF(AE39&lt;=$B$2,0,IF(AE39&lt;=$B$3,$B$3-AE39,IF(AE39&lt;=$B$4,AE39-$B$3,0)))</f>
        <v>0</v>
      </c>
    </row>
    <row r="103" spans="1:31" x14ac:dyDescent="0.25">
      <c r="A103" s="73"/>
      <c r="F103" s="72">
        <f>(($G$4*G102)+((1-$G$4)*G104))*EXP(-$B$6*$G$1)</f>
        <v>1.467423790384911</v>
      </c>
      <c r="H103" s="72">
        <f>(($G$4*I102)+((1-$G$4)*I104))*EXP(-$B$6*$G$1)</f>
        <v>1.4310705401630084</v>
      </c>
      <c r="J103" s="72">
        <f>(($G$4*K102)+((1-$G$4)*K104))*EXP(-$B$6*$G$1)</f>
        <v>1.3855666432748863</v>
      </c>
      <c r="L103" s="72">
        <f>(($G$4*M102)+((1-$G$4)*M104))*EXP(-$B$6*$G$1)</f>
        <v>1.3290204567842971</v>
      </c>
      <c r="N103" s="72">
        <f>(($G$4*O102)+((1-$G$4)*O104))*EXP(-$B$6*$G$1)</f>
        <v>1.2591170101436511</v>
      </c>
      <c r="P103" s="72">
        <f>(($G$4*Q102)+((1-$G$4)*Q104))*EXP(-$B$6*$G$1)</f>
        <v>1.1730178567643224</v>
      </c>
      <c r="R103" s="72">
        <f>(($G$4*S102)+((1-$G$4)*S104))*EXP(-$B$6*$G$1)</f>
        <v>1.0672216207777474</v>
      </c>
      <c r="T103" s="72">
        <f>(($G$4*U102)+((1-$G$4)*U104))*EXP(-$B$6*$G$1)</f>
        <v>0.93731997108472587</v>
      </c>
      <c r="V103" s="72">
        <f>(($G$4*W102)+((1-$G$4)*W104))*EXP(-$B$6*$G$1)</f>
        <v>0.77742463862499001</v>
      </c>
      <c r="X103" s="72">
        <f>(($G$4*Y102)+((1-$G$4)*Y104))*EXP(-$B$6*$G$1)</f>
        <v>0.5785703649154722</v>
      </c>
      <c r="Z103" s="72">
        <f>(($G$4*AA102)+((1-$G$4)*AA104))*EXP(-$B$6*$G$1)</f>
        <v>0.32484246887790946</v>
      </c>
      <c r="AB103" s="72">
        <f>(($G$4*AC102)+((1-$G$4)*AC104))*EXP(-$B$6*$G$1)</f>
        <v>0</v>
      </c>
      <c r="AD103" s="72">
        <f>(($G$4*AE102)+((1-$G$4)*AE104))*EXP(-$B$6*$G$1)</f>
        <v>0</v>
      </c>
    </row>
    <row r="104" spans="1:31" x14ac:dyDescent="0.25">
      <c r="A104" s="73"/>
      <c r="E104" s="72">
        <f>(($G$4*F103)+((1-$G$4)*F105))*EXP(-$B$6*$G$1)</f>
        <v>1.828779727817105</v>
      </c>
      <c r="G104" s="72">
        <f>(($G$4*H103)+((1-$G$4)*H105))*EXP(-$B$6*$G$1)</f>
        <v>1.8168480903175495</v>
      </c>
      <c r="I104" s="72">
        <f>(($G$4*J103)+((1-$G$4)*J105))*EXP(-$B$6*$G$1)</f>
        <v>1.7978469559363051</v>
      </c>
      <c r="K104" s="72">
        <f>(($G$4*L103)+((1-$G$4)*L105))*EXP(-$B$6*$G$1)</f>
        <v>1.7699450561671857</v>
      </c>
      <c r="M104" s="72">
        <f>(($G$4*N103)+((1-$G$4)*N105))*EXP(-$B$6*$G$1)</f>
        <v>1.7307875701642841</v>
      </c>
      <c r="O104" s="72">
        <f>(($G$4*P103)+((1-$G$4)*P105))*EXP(-$B$6*$G$1)</f>
        <v>1.6773254725270512</v>
      </c>
      <c r="Q104" s="72">
        <f>(($G$4*R103)+((1-$G$4)*R105))*EXP(-$B$6*$G$1)</f>
        <v>1.6055767324930865</v>
      </c>
      <c r="S104" s="72">
        <f>(($G$4*T103)+((1-$G$4)*T105))*EXP(-$B$6*$G$1)</f>
        <v>1.5102655073322702</v>
      </c>
      <c r="U104" s="72">
        <f>(($G$4*V103)+((1-$G$4)*V105))*EXP(-$B$6*$G$1)</f>
        <v>1.3841695228847228</v>
      </c>
      <c r="W104" s="72">
        <f>(($G$4*X103)+((1-$G$4)*X105))*EXP(-$B$6*$G$1)</f>
        <v>1.2165147426670573</v>
      </c>
      <c r="Y104" s="72">
        <f>(($G$4*Z103)+((1-$G$4)*Z105))*EXP(-$B$6*$G$1)</f>
        <v>0.9874855845078101</v>
      </c>
      <c r="AA104" s="72">
        <f>(($G$4*AB103)+((1-$G$4)*AB105))*EXP(-$B$6*$G$1)</f>
        <v>0.64467116000231661</v>
      </c>
      <c r="AC104" s="72">
        <f>(($G$4*AD103)+((1-$G$4)*AD105))*EXP(-$B$6*$G$1)</f>
        <v>0</v>
      </c>
      <c r="AE104" s="72">
        <f>IF(AE41&lt;=$B$2,0,IF(AE41&lt;=$B$3,$B$3-AE41,IF(AE41&lt;=$B$4,AE41-$B$3,0)))</f>
        <v>0</v>
      </c>
    </row>
    <row r="105" spans="1:31" x14ac:dyDescent="0.25">
      <c r="A105" s="73"/>
      <c r="D105" s="72">
        <f>(($G$4*E104)+((1-$G$4)*E106))*EXP(-$B$6*$G$1)</f>
        <v>2.1727016695376591</v>
      </c>
      <c r="F105" s="72">
        <f>(($G$4*G104)+((1-$G$4)*G106))*EXP(-$B$6*$G$1)</f>
        <v>2.1884386647935079</v>
      </c>
      <c r="H105" s="72">
        <f>(($G$4*I104)+((1-$G$4)*I106))*EXP(-$B$6*$G$1)</f>
        <v>2.2004555751105892</v>
      </c>
      <c r="J105" s="72">
        <f>(($G$4*K104)+((1-$G$4)*K106))*EXP(-$B$6*$G$1)</f>
        <v>2.2074278195702521</v>
      </c>
      <c r="L105" s="72">
        <f>(($G$4*M104)+((1-$G$4)*M106))*EXP(-$B$6*$G$1)</f>
        <v>2.2075785701308992</v>
      </c>
      <c r="N105" s="72">
        <f>(($G$4*O104)+((1-$G$4)*O106))*EXP(-$B$6*$G$1)</f>
        <v>2.1985076491849807</v>
      </c>
      <c r="P105" s="72">
        <f>(($G$4*Q104)+((1-$G$4)*Q106))*EXP(-$B$6*$G$1)</f>
        <v>2.1769511969238926</v>
      </c>
      <c r="R105" s="72">
        <f>(($G$4*S104)+((1-$G$4)*S106))*EXP(-$B$6*$G$1)</f>
        <v>2.1384446875819294</v>
      </c>
      <c r="T105" s="72">
        <f>(($G$4*U104)+((1-$G$4)*U106))*EXP(-$B$6*$G$1)</f>
        <v>2.0768464993413751</v>
      </c>
      <c r="V105" s="72">
        <f>(($G$4*W104)+((1-$G$4)*W106))*EXP(-$B$6*$G$1)</f>
        <v>1.9836053721391416</v>
      </c>
      <c r="X105" s="72">
        <f>(($G$4*Y104)+((1-$G$4)*Y106))*EXP(-$B$6*$G$1)</f>
        <v>1.8461427020081898</v>
      </c>
      <c r="Z105" s="72">
        <f>(($G$4*AA104)+((1-$G$4)*AA106))*EXP(-$B$6*$G$1)</f>
        <v>1.6407601305274788</v>
      </c>
      <c r="AB105" s="72">
        <f>(($G$4*AC104)+((1-$G$4)*AC106))*EXP(-$B$6*$G$1)</f>
        <v>1.2793921495989313</v>
      </c>
      <c r="AD105" s="72">
        <f>(($G$4*AE104)+((1-$G$4)*AE106))*EXP(-$B$6*$G$1)</f>
        <v>0</v>
      </c>
    </row>
    <row r="106" spans="1:31" x14ac:dyDescent="0.25">
      <c r="A106" s="73"/>
      <c r="C106" s="72">
        <f>(($G$4*D105)+((1-$G$4)*D107))*EXP(-$B$6*$G$1)</f>
        <v>2.4733288960692108</v>
      </c>
      <c r="E106" s="72">
        <f>(($G$4*F105)+((1-$G$4)*F107))*EXP(-$B$6*$G$1)</f>
        <v>2.5161512378344959</v>
      </c>
      <c r="G106" s="72">
        <f>(($G$4*H105)+((1-$G$4)*H107))*EXP(-$B$6*$G$1)</f>
        <v>2.5590982635010602</v>
      </c>
      <c r="I106" s="72">
        <f>(($G$4*J105)+((1-$G$4)*J107))*EXP(-$B$6*$G$1)</f>
        <v>2.6016042256667182</v>
      </c>
      <c r="K106" s="72">
        <f>(($G$4*L105)+((1-$G$4)*L107))*EXP(-$B$6*$G$1)</f>
        <v>2.6428385680685915</v>
      </c>
      <c r="M106" s="72">
        <f>(($G$4*N105)+((1-$G$4)*N107))*EXP(-$B$6*$G$1)</f>
        <v>2.6815873075359327</v>
      </c>
      <c r="O106" s="72">
        <f>(($G$4*P105)+((1-$G$4)*P107))*EXP(-$B$6*$G$1)</f>
        <v>2.7160810370083213</v>
      </c>
      <c r="Q106" s="72">
        <f>(($G$4*R105)+((1-$G$4)*R107))*EXP(-$B$6*$G$1)</f>
        <v>2.743752453248931</v>
      </c>
      <c r="S106" s="72">
        <f>(($G$4*T105)+((1-$G$4)*T107))*EXP(-$B$6*$G$1)</f>
        <v>2.760921874155168</v>
      </c>
      <c r="U106" s="72">
        <f>(($G$4*V105)+((1-$G$4)*V107))*EXP(-$B$6*$G$1)</f>
        <v>2.762492552900575</v>
      </c>
      <c r="W106" s="72">
        <f>(($G$4*X105)+((1-$G$4)*X107))*EXP(-$B$6*$G$1)</f>
        <v>2.7420732083784718</v>
      </c>
      <c r="Y106" s="72">
        <f>(($G$4*Z105)+((1-$G$4)*Z107))*EXP(-$B$6*$G$1)</f>
        <v>2.6941581169394415</v>
      </c>
      <c r="AA106" s="72">
        <f>(($G$4*AB105)+((1-$G$4)*AB107))*EXP(-$B$6*$G$1)</f>
        <v>2.6231796955227105</v>
      </c>
      <c r="AC106" s="72">
        <f>(($G$4*AD105)+((1-$G$4)*AD107))*EXP(-$B$6*$G$1)</f>
        <v>2.5390375341895117</v>
      </c>
      <c r="AE106" s="72">
        <f>IF(AE43&lt;=$B$2,0,IF(AE43&lt;=$B$3,$B$3-AE43,IF(AE43&lt;=$B$4,AE43-$B$3,0)))</f>
        <v>0</v>
      </c>
    </row>
    <row r="107" spans="1:31" x14ac:dyDescent="0.25">
      <c r="A107" s="73"/>
      <c r="B107" s="72">
        <f>(($G$4*C106)+((1-$G$4)*C108))*EXP(-$B$6*$G$1)</f>
        <v>2.7092125796916675</v>
      </c>
      <c r="D107" s="72">
        <f>(($G$4*E106)+((1-$G$4)*E108))*EXP(-$B$6*$G$1)</f>
        <v>2.7750614220840593</v>
      </c>
      <c r="F107" s="72">
        <f>(($G$4*G106)+((1-$G$4)*G108))*EXP(-$B$6*$G$1)</f>
        <v>2.8445926755713202</v>
      </c>
      <c r="H107" s="72">
        <f>(($G$4*I106)+((1-$G$4)*I108))*EXP(-$B$6*$G$1)</f>
        <v>2.9180242026445313</v>
      </c>
      <c r="J107" s="72">
        <f>(($G$4*K106)+((1-$G$4)*K108))*EXP(-$B$6*$G$1)</f>
        <v>2.9955338745886388</v>
      </c>
      <c r="L107" s="72">
        <f>(($G$4*M106)+((1-$G$4)*M108))*EXP(-$B$6*$G$1)</f>
        <v>3.0772181031882564</v>
      </c>
      <c r="N107" s="72">
        <f>(($G$4*O106)+((1-$G$4)*O108))*EXP(-$B$6*$G$1)</f>
        <v>3.1630244445561488</v>
      </c>
      <c r="P107" s="72">
        <f>(($G$4*Q106)+((1-$G$4)*Q108))*EXP(-$B$6*$G$1)</f>
        <v>3.2526462475614073</v>
      </c>
      <c r="R107" s="72">
        <f>(($G$4*S106)+((1-$G$4)*S108))*EXP(-$B$6*$G$1)</f>
        <v>3.3453723431814684</v>
      </c>
      <c r="T107" s="72">
        <f>(($G$4*U106)+((1-$G$4)*U108))*EXP(-$B$6*$G$1)</f>
        <v>3.4399307498071678</v>
      </c>
      <c r="V107" s="72">
        <f>(($G$4*W106)+((1-$G$4)*W108))*EXP(-$B$6*$G$1)</f>
        <v>3.5346033028967301</v>
      </c>
      <c r="X107" s="72">
        <f>(($G$4*Y106)+((1-$G$4)*Y108))*EXP(-$B$6*$G$1)</f>
        <v>3.6290572841273505</v>
      </c>
      <c r="Z107" s="72">
        <f>(($G$4*AA106)+((1-$G$4)*AA108))*EXP(-$B$6*$G$1)</f>
        <v>3.7356361444468287</v>
      </c>
      <c r="AB107" s="72">
        <f>(($G$4*AC106)+((1-$G$4)*AC108))*EXP(-$B$6*$G$1)</f>
        <v>3.9496096938135716</v>
      </c>
      <c r="AD107" s="72">
        <f>(($G$4*AE106)+((1-$G$4)*AE108))*EXP(-$B$6*$G$1)</f>
        <v>5.0388863196042717</v>
      </c>
    </row>
    <row r="108" spans="1:31" x14ac:dyDescent="0.25">
      <c r="A108" s="72">
        <f>(($G$4*B107)+((1-$G$4)*B109))*EXP(-$B$6*$G$1)</f>
        <v>2.8657106429584029</v>
      </c>
      <c r="C108" s="72">
        <f>(($G$4*D107)+((1-$G$4)*D109))*EXP(-$B$6*$G$1)</f>
        <v>2.9479958021582604</v>
      </c>
      <c r="E108" s="72">
        <f>(($G$4*F107)+((1-$G$4)*F109))*EXP(-$B$6*$G$1)</f>
        <v>3.0366289790392194</v>
      </c>
      <c r="G108" s="72">
        <f>(($G$4*H107)+((1-$G$4)*H109))*EXP(-$B$6*$G$1)</f>
        <v>3.1324477122094061</v>
      </c>
      <c r="I108" s="72">
        <f>(($G$4*J107)+((1-$G$4)*J109))*EXP(-$B$6*$G$1)</f>
        <v>3.2364398834148367</v>
      </c>
      <c r="K108" s="72">
        <f>(($G$4*L107)+((1-$G$4)*L109))*EXP(-$B$6*$G$1)</f>
        <v>3.3497740306637174</v>
      </c>
      <c r="M108" s="72">
        <f>(($G$4*N107)+((1-$G$4)*N109))*EXP(-$B$6*$G$1)</f>
        <v>3.4738335252536072</v>
      </c>
      <c r="O108" s="72">
        <f>(($G$4*P107)+((1-$G$4)*P109))*EXP(-$B$6*$G$1)</f>
        <v>3.6102517071342883</v>
      </c>
      <c r="Q108" s="72">
        <f>(($G$4*R107)+((1-$G$4)*R109))*EXP(-$B$6*$G$1)</f>
        <v>3.7609408964872801</v>
      </c>
      <c r="S108" s="72">
        <f>(($G$4*T107)+((1-$G$4)*T109))*EXP(-$B$6*$G$1)</f>
        <v>3.928102889613406</v>
      </c>
      <c r="U108" s="72">
        <f>(($G$4*V107)+((1-$G$4)*V109))*EXP(-$B$6*$G$1)</f>
        <v>4.1142179593709605</v>
      </c>
      <c r="W108" s="72">
        <f>(($G$4*X107)+((1-$G$4)*X109))*EXP(-$B$6*$G$1)</f>
        <v>4.3221520299949043</v>
      </c>
      <c r="Y108" s="72">
        <f>(($G$4*Z107)+((1-$G$4)*Z109))*EXP(-$B$6*$G$1)</f>
        <v>4.5566509868738176</v>
      </c>
      <c r="AA108" s="72">
        <f>(($G$4*AB107)+((1-$G$4)*AB109))*EXP(-$B$6*$G$1)</f>
        <v>4.8378589329376345</v>
      </c>
      <c r="AC108" s="72">
        <f>(($G$4*AD107)+((1-$G$4)*AD109))*EXP(-$B$6*$G$1)</f>
        <v>5.3451244299830076</v>
      </c>
      <c r="AE108" s="72">
        <f>IF(AE45&lt;=$B$2,0,IF(AE45&lt;=$B$3,$B$3-AE45,IF(AE45&lt;=$B$4,AE45-$B$3,0)))</f>
        <v>9.9999999999999858</v>
      </c>
    </row>
    <row r="109" spans="1:31" x14ac:dyDescent="0.25">
      <c r="B109" s="72">
        <f>(($G$4*C108)+((1-$G$4)*C110))*EXP(-$B$6*$G$1)</f>
        <v>3.0269572745152016</v>
      </c>
      <c r="D109" s="72">
        <f>(($G$4*E108)+((1-$G$4)*E110))*EXP(-$B$6*$G$1)</f>
        <v>3.1255991900384594</v>
      </c>
      <c r="F109" s="72">
        <f>(($G$4*G108)+((1-$G$4)*G110))*EXP(-$B$6*$G$1)</f>
        <v>3.2332233250398428</v>
      </c>
      <c r="H109" s="72">
        <f>(($G$4*I108)+((1-$G$4)*I110))*EXP(-$B$6*$G$1)</f>
        <v>3.3512779059588853</v>
      </c>
      <c r="J109" s="72">
        <f>(($G$4*K108)+((1-$G$4)*K110))*EXP(-$B$6*$G$1)</f>
        <v>3.4815487932538369</v>
      </c>
      <c r="L109" s="72">
        <f>(($G$4*M108)+((1-$G$4)*M110))*EXP(-$B$6*$G$1)</f>
        <v>3.6262603583793021</v>
      </c>
      <c r="N109" s="72">
        <f>(($G$4*O108)+((1-$G$4)*O110))*EXP(-$B$6*$G$1)</f>
        <v>3.7882094880642598</v>
      </c>
      <c r="P109" s="72">
        <f>(($G$4*Q108)+((1-$G$4)*Q110))*EXP(-$B$6*$G$1)</f>
        <v>3.9709387596817827</v>
      </c>
      <c r="R109" s="72">
        <f>(($G$4*S108)+((1-$G$4)*S110))*EXP(-$B$6*$G$1)</f>
        <v>4.1789416098389003</v>
      </c>
      <c r="T109" s="72">
        <f>(($G$4*U108)+((1-$G$4)*U110))*EXP(-$B$6*$G$1)</f>
        <v>4.4178366332253161</v>
      </c>
      <c r="V109" s="72">
        <f>(($G$4*W108)+((1-$G$4)*W110))*EXP(-$B$6*$G$1)</f>
        <v>4.6942331959765582</v>
      </c>
      <c r="X109" s="72">
        <f>(($G$4*Y108)+((1-$G$4)*Y110))*EXP(-$B$6*$G$1)</f>
        <v>5.0141456156545336</v>
      </c>
      <c r="Z109" s="72">
        <f>(($G$4*AA108)+((1-$G$4)*AA110))*EXP(-$B$6*$G$1)</f>
        <v>5.3748721167207707</v>
      </c>
      <c r="AB109" s="72">
        <f>(($G$4*AC108)+((1-$G$4)*AC110))*EXP(-$B$6*$G$1)</f>
        <v>5.7228425462830419</v>
      </c>
      <c r="AD109" s="72">
        <f>(($G$4*AE108)+((1-$G$4)*AE110))*EXP(-$B$6*$G$1)</f>
        <v>5.6599603597823878</v>
      </c>
    </row>
    <row r="110" spans="1:31" x14ac:dyDescent="0.25">
      <c r="A110" s="72"/>
      <c r="C110" s="72">
        <f>(($G$4*D109)+((1-$G$4)*D111))*EXP(-$B$6*$G$1)</f>
        <v>3.1124954731024825</v>
      </c>
      <c r="E110" s="72">
        <f>(($G$4*F109)+((1-$G$4)*F111))*EXP(-$B$6*$G$1)</f>
        <v>3.2212260223373916</v>
      </c>
      <c r="G110" s="72">
        <f>(($G$4*H109)+((1-$G$4)*H111))*EXP(-$B$6*$G$1)</f>
        <v>3.3407267245992363</v>
      </c>
      <c r="I110" s="72">
        <f>(($G$4*J109)+((1-$G$4)*J111))*EXP(-$B$6*$G$1)</f>
        <v>3.4729016581151009</v>
      </c>
      <c r="K110" s="72">
        <f>(($G$4*L109)+((1-$G$4)*L111))*EXP(-$B$6*$G$1)</f>
        <v>3.6201475677294388</v>
      </c>
      <c r="M110" s="72">
        <f>(($G$4*N109)+((1-$G$4)*N111))*EXP(-$B$6*$G$1)</f>
        <v>3.7855205027276289</v>
      </c>
      <c r="O110" s="72">
        <f>(($G$4*P109)+((1-$G$4)*P111))*EXP(-$B$6*$G$1)</f>
        <v>3.9729672569471663</v>
      </c>
      <c r="Q110" s="72">
        <f>(($G$4*R109)+((1-$G$4)*R111))*EXP(-$B$6*$G$1)</f>
        <v>4.1876405595590702</v>
      </c>
      <c r="S110" s="72">
        <f>(($G$4*T109)+((1-$G$4)*T111))*EXP(-$B$6*$G$1)</f>
        <v>4.436295939440738</v>
      </c>
      <c r="U110" s="72">
        <f>(($G$4*V109)+((1-$G$4)*V111))*EXP(-$B$6*$G$1)</f>
        <v>4.7276484333623978</v>
      </c>
      <c r="W110" s="72">
        <f>(($G$4*X109)+((1-$G$4)*X111))*EXP(-$B$6*$G$1)</f>
        <v>5.0720006496769736</v>
      </c>
      <c r="Y110" s="72">
        <f>(($G$4*Z109)+((1-$G$4)*Z111))*EXP(-$B$6*$G$1)</f>
        <v>5.4766283101753146</v>
      </c>
      <c r="AA110" s="72">
        <f>(($G$4*AB109)+((1-$G$4)*AB111))*EXP(-$B$6*$G$1)</f>
        <v>5.9163896428636926</v>
      </c>
      <c r="AC110" s="72">
        <f>(($G$4*AD109)+((1-$G$4)*AD111))*EXP(-$B$6*$G$1)</f>
        <v>6.1088650173928123</v>
      </c>
      <c r="AE110" s="72">
        <f>IF(AE47&lt;=$B$2,0,IF(AE47&lt;=$B$3,$B$3-AE47,IF(AE47&lt;=$B$4,AE47-$B$3,0)))</f>
        <v>1.4133502575949137</v>
      </c>
    </row>
    <row r="111" spans="1:31" x14ac:dyDescent="0.25">
      <c r="A111" s="73"/>
      <c r="D111" s="72">
        <f>(($G$4*E110)+((1-$G$4)*E112))*EXP(-$B$6*$G$1)</f>
        <v>3.1078591025304743</v>
      </c>
      <c r="F111" s="72">
        <f>(($G$4*G110)+((1-$G$4)*G112))*EXP(-$B$6*$G$1)</f>
        <v>3.2179635821507437</v>
      </c>
      <c r="H111" s="72">
        <f>(($G$4*I110)+((1-$G$4)*I112))*EXP(-$B$6*$G$1)</f>
        <v>3.3392002601805579</v>
      </c>
      <c r="J111" s="72">
        <f>(($G$4*K110)+((1-$G$4)*K112))*EXP(-$B$6*$G$1)</f>
        <v>3.4735943303786971</v>
      </c>
      <c r="L111" s="72">
        <f>(($G$4*M110)+((1-$G$4)*M112))*EXP(-$B$6*$G$1)</f>
        <v>3.6237181324431291</v>
      </c>
      <c r="N111" s="72">
        <f>(($G$4*O110)+((1-$G$4)*O112))*EXP(-$B$6*$G$1)</f>
        <v>3.7928902740487214</v>
      </c>
      <c r="P111" s="72">
        <f>(($G$4*Q110)+((1-$G$4)*Q112))*EXP(-$B$6*$G$1)</f>
        <v>3.9854648943451441</v>
      </c>
      <c r="R111" s="72">
        <f>(($G$4*S110)+((1-$G$4)*S112))*EXP(-$B$6*$G$1)</f>
        <v>4.2072557213256792</v>
      </c>
      <c r="T111" s="72">
        <f>(($G$4*U110)+((1-$G$4)*U112))*EXP(-$B$6*$G$1)</f>
        <v>4.466152527441551</v>
      </c>
      <c r="V111" s="72">
        <f>(($G$4*W110)+((1-$G$4)*W112))*EXP(-$B$6*$G$1)</f>
        <v>4.7729609974518539</v>
      </c>
      <c r="X111" s="72">
        <f>(($G$4*Y110)+((1-$G$4)*Y112))*EXP(-$B$6*$G$1)</f>
        <v>5.1422217467250206</v>
      </c>
      <c r="Z111" s="72">
        <f>(($G$4*AA110)+((1-$G$4)*AA112))*EXP(-$B$6*$G$1)</f>
        <v>5.591026852430943</v>
      </c>
      <c r="AB111" s="72">
        <f>(($G$4*AC110)+((1-$G$4)*AC112))*EXP(-$B$6*$G$1)</f>
        <v>6.1220824890761891</v>
      </c>
      <c r="AD111" s="72">
        <f>(($G$4*AE110)+((1-$G$4)*AE112))*EXP(-$B$6*$G$1)</f>
        <v>6.5658078300994545</v>
      </c>
    </row>
    <row r="112" spans="1:31" x14ac:dyDescent="0.25">
      <c r="A112" s="73"/>
      <c r="E112" s="72">
        <f>(($G$4*F111)+((1-$G$4)*F113))*EXP(-$B$6*$G$1)</f>
        <v>3.0047599087983174</v>
      </c>
      <c r="G112" s="72">
        <f>(($G$4*H111)+((1-$G$4)*H113))*EXP(-$B$6*$G$1)</f>
        <v>3.1059291902626591</v>
      </c>
      <c r="I112" s="72">
        <f>(($G$4*J111)+((1-$G$4)*J113))*EXP(-$B$6*$G$1)</f>
        <v>3.2167459525569946</v>
      </c>
      <c r="K112" s="72">
        <f>(($G$4*L111)+((1-$G$4)*L113))*EXP(-$B$6*$G$1)</f>
        <v>3.3388759108259412</v>
      </c>
      <c r="M112" s="72">
        <f>(($G$4*N111)+((1-$G$4)*N113))*EXP(-$B$6*$G$1)</f>
        <v>3.4744232421754111</v>
      </c>
      <c r="O112" s="72">
        <f>(($G$4*P111)+((1-$G$4)*P113))*EXP(-$B$6*$G$1)</f>
        <v>3.6260985004524815</v>
      </c>
      <c r="Q112" s="72">
        <f>(($G$4*R111)+((1-$G$4)*R113))*EXP(-$B$6*$G$1)</f>
        <v>3.797483186100751</v>
      </c>
      <c r="S112" s="72">
        <f>(($G$4*T111)+((1-$G$4)*T113))*EXP(-$B$6*$G$1)</f>
        <v>3.9934816262531045</v>
      </c>
      <c r="U112" s="72">
        <f>(($G$4*V111)+((1-$G$4)*V113))*EXP(-$B$6*$G$1)</f>
        <v>4.2211941119569554</v>
      </c>
      <c r="W112" s="72">
        <f>(($G$4*X111)+((1-$G$4)*X113))*EXP(-$B$6*$G$1)</f>
        <v>4.4919488830852101</v>
      </c>
      <c r="Y112" s="72">
        <f>(($G$4*Z111)+((1-$G$4)*Z113))*EXP(-$B$6*$G$1)</f>
        <v>4.8274585580247695</v>
      </c>
      <c r="AA112" s="72">
        <f>(($G$4*AB111)+((1-$G$4)*AB113))*EXP(-$B$6*$G$1)</f>
        <v>5.2863307222045748</v>
      </c>
      <c r="AC112" s="72">
        <f>(($G$4*AD111)+((1-$G$4)*AD113))*EXP(-$B$6*$G$1)</f>
        <v>6.1512497746498784</v>
      </c>
      <c r="AE112" s="72">
        <f>IF(AE49&lt;=$B$2,0,IF(AE49&lt;=$B$3,$B$3-AE49,IF(AE49&lt;=$B$4,AE49-$B$3,0)))</f>
        <v>11.642477205166713</v>
      </c>
    </row>
    <row r="113" spans="1:31" x14ac:dyDescent="0.25">
      <c r="A113" s="73"/>
      <c r="F113" s="72">
        <f>(($G$4*G112)+((1-$G$4)*G114))*EXP(-$B$6*$G$1)</f>
        <v>2.8033562639199547</v>
      </c>
      <c r="H113" s="72">
        <f>(($G$4*I112)+((1-$G$4)*I114))*EXP(-$B$6*$G$1)</f>
        <v>2.8850884679114412</v>
      </c>
      <c r="J113" s="72">
        <f>(($G$4*K112)+((1-$G$4)*K114))*EXP(-$B$6*$G$1)</f>
        <v>2.9730472074939791</v>
      </c>
      <c r="L113" s="72">
        <f>(($G$4*M112)+((1-$G$4)*M114))*EXP(-$B$6*$G$1)</f>
        <v>3.0680123686459879</v>
      </c>
      <c r="N113" s="72">
        <f>(($G$4*O112)+((1-$G$4)*O114))*EXP(-$B$6*$G$1)</f>
        <v>3.1709012174947455</v>
      </c>
      <c r="P113" s="72">
        <f>(($G$4*Q112)+((1-$G$4)*Q114))*EXP(-$B$6*$G$1)</f>
        <v>3.2828176042401962</v>
      </c>
      <c r="R113" s="72">
        <f>(($G$4*S112)+((1-$G$4)*S114))*EXP(-$B$6*$G$1)</f>
        <v>3.4051606284503557</v>
      </c>
      <c r="T113" s="72">
        <f>(($G$4*U112)+((1-$G$4)*U114))*EXP(-$B$6*$G$1)</f>
        <v>3.5399161138801296</v>
      </c>
      <c r="V113" s="72">
        <f>(($G$4*W112)+((1-$G$4)*W114))*EXP(-$B$6*$G$1)</f>
        <v>3.6905647224588107</v>
      </c>
      <c r="X113" s="72">
        <f>(($G$4*Y112)+((1-$G$4)*Y114))*EXP(-$B$6*$G$1)</f>
        <v>3.8653103500396564</v>
      </c>
      <c r="Z113" s="72">
        <f>(($G$4*AA112)+((1-$G$4)*AA114))*EXP(-$B$6*$G$1)</f>
        <v>4.0904600375216749</v>
      </c>
      <c r="AB113" s="72">
        <f>(($G$4*AC112)+((1-$G$4)*AC114))*EXP(-$B$6*$G$1)</f>
        <v>4.4796671275051558</v>
      </c>
      <c r="AD113" s="72">
        <f>(($G$4*AE112)+((1-$G$4)*AE114))*EXP(-$B$6*$G$1)</f>
        <v>5.7604523349552323</v>
      </c>
    </row>
    <row r="114" spans="1:31" x14ac:dyDescent="0.25">
      <c r="A114" s="73"/>
      <c r="G114" s="72">
        <f>(($G$4*H113)+((1-$G$4)*H115))*EXP(-$B$6*$G$1)</f>
        <v>2.5136664796303752</v>
      </c>
      <c r="I114" s="72">
        <f>(($G$4*J113)+((1-$G$4)*J115))*EXP(-$B$6*$G$1)</f>
        <v>2.567056066067952</v>
      </c>
      <c r="K114" s="72">
        <f>(($G$4*L113)+((1-$G$4)*L115))*EXP(-$B$6*$G$1)</f>
        <v>2.6216939534769796</v>
      </c>
      <c r="M114" s="72">
        <f>(($G$4*N113)+((1-$G$4)*N115))*EXP(-$B$6*$G$1)</f>
        <v>2.6770617405923853</v>
      </c>
      <c r="O114" s="72">
        <f>(($G$4*P113)+((1-$G$4)*P115))*EXP(-$B$6*$G$1)</f>
        <v>2.7323182518853484</v>
      </c>
      <c r="Q114" s="72">
        <f>(($G$4*R113)+((1-$G$4)*R115))*EXP(-$B$6*$G$1)</f>
        <v>2.7861373992272664</v>
      </c>
      <c r="S114" s="72">
        <f>(($G$4*T113)+((1-$G$4)*T115))*EXP(-$B$6*$G$1)</f>
        <v>2.8364801246504734</v>
      </c>
      <c r="U114" s="72">
        <f>(($G$4*V113)+((1-$G$4)*V115))*EXP(-$B$6*$G$1)</f>
        <v>2.8803154992808673</v>
      </c>
      <c r="W114" s="72">
        <f>(($G$4*X113)+((1-$G$4)*X115))*EXP(-$B$6*$G$1)</f>
        <v>2.9134276860027897</v>
      </c>
      <c r="Y114" s="72">
        <f>(($G$4*Z113)+((1-$G$4)*Z115))*EXP(-$B$6*$G$1)</f>
        <v>2.9307777735746963</v>
      </c>
      <c r="AA114" s="72">
        <f>(($G$4*AB113)+((1-$G$4)*AB115))*EXP(-$B$6*$G$1)</f>
        <v>2.9270257782378413</v>
      </c>
      <c r="AC114" s="72">
        <f>(($G$4*AD113)+((1-$G$4)*AD115))*EXP(-$B$6*$G$1)</f>
        <v>2.8501504034352134</v>
      </c>
      <c r="AE114" s="72">
        <f>IF(AE51&lt;=$B$2,0,IF(AE51&lt;=$B$3,$B$3-AE51,IF(AE51&lt;=$B$4,AE51-$B$3,0)))</f>
        <v>0</v>
      </c>
    </row>
    <row r="115" spans="1:31" x14ac:dyDescent="0.25">
      <c r="A115" s="73"/>
      <c r="G115" s="72"/>
      <c r="H115" s="72">
        <f>(($G$4*I114)+((1-$G$4)*I116))*EXP(-$B$6*$G$1)</f>
        <v>2.1556063091043236</v>
      </c>
      <c r="J115" s="72">
        <f>(($G$4*K114)+((1-$G$4)*K116))*EXP(-$B$6*$G$1)</f>
        <v>2.1751928910489955</v>
      </c>
      <c r="L115" s="72">
        <f>(($G$4*M114)+((1-$G$4)*M116))*EXP(-$B$6*$G$1)</f>
        <v>2.1903770542696193</v>
      </c>
      <c r="N115" s="72">
        <f>(($G$4*O114)+((1-$G$4)*O116))*EXP(-$B$6*$G$1)</f>
        <v>2.1992293144513089</v>
      </c>
      <c r="P115" s="72">
        <f>(($G$4*Q114)+((1-$G$4)*Q116))*EXP(-$B$6*$G$1)</f>
        <v>2.1989964097537942</v>
      </c>
      <c r="R115" s="72">
        <f>(($G$4*S114)+((1-$G$4)*S116))*EXP(-$B$6*$G$1)</f>
        <v>2.1856728259060691</v>
      </c>
      <c r="T115" s="72">
        <f>(($G$4*U114)+((1-$G$4)*U116))*EXP(-$B$6*$G$1)</f>
        <v>2.1532619963751123</v>
      </c>
      <c r="V115" s="72">
        <f>(($G$4*W114)+((1-$G$4)*W116))*EXP(-$B$6*$G$1)</f>
        <v>2.0923311085630107</v>
      </c>
      <c r="X115" s="72">
        <f>(($G$4*Y114)+((1-$G$4)*Y116))*EXP(-$B$6*$G$1)</f>
        <v>1.9864579783855854</v>
      </c>
      <c r="Z115" s="72">
        <f>(($G$4*AA114)+((1-$G$4)*AA116))*EXP(-$B$6*$G$1)</f>
        <v>1.7998111155790166</v>
      </c>
      <c r="AB115" s="72">
        <f>(($G$4*AC114)+((1-$G$4)*AC116))*EXP(-$B$6*$G$1)</f>
        <v>1.4101943475702836</v>
      </c>
      <c r="AD115" s="72">
        <f>(($G$4*AE114)+((1-$G$4)*AE116))*EXP(-$B$6*$G$1)</f>
        <v>0</v>
      </c>
    </row>
    <row r="116" spans="1:31" x14ac:dyDescent="0.25">
      <c r="A116" s="73"/>
      <c r="G116" s="72"/>
      <c r="I116" s="72">
        <f>(($G$4*J115)+((1-$G$4)*J117))*EXP(-$B$6*$G$1)</f>
        <v>1.7572951973447712</v>
      </c>
      <c r="K116" s="72">
        <f>(($G$4*L115)+((1-$G$4)*L117))*EXP(-$B$6*$G$1)</f>
        <v>1.7425159531206529</v>
      </c>
      <c r="M116" s="72">
        <f>(($G$4*N115)+((1-$G$4)*N117))*EXP(-$B$6*$G$1)</f>
        <v>1.7182831165495878</v>
      </c>
      <c r="O116" s="72">
        <f>(($G$4*P115)+((1-$G$4)*P117))*EXP(-$B$6*$G$1)</f>
        <v>1.6815934676807196</v>
      </c>
      <c r="Q116" s="72">
        <f>(($G$4*R115)+((1-$G$4)*R117))*EXP(-$B$6*$G$1)</f>
        <v>1.6282850920533625</v>
      </c>
      <c r="S116" s="72">
        <f>(($G$4*T115)+((1-$G$4)*T117))*EXP(-$B$6*$G$1)</f>
        <v>1.5524109784127411</v>
      </c>
      <c r="U116" s="72">
        <f>(($G$4*V115)+((1-$G$4)*V117))*EXP(-$B$6*$G$1)</f>
        <v>1.4450466809127558</v>
      </c>
      <c r="W116" s="72">
        <f>(($G$4*X115)+((1-$G$4)*X117))*EXP(-$B$6*$G$1)</f>
        <v>1.2916117847882289</v>
      </c>
      <c r="Y116" s="72">
        <f>(($G$4*Z115)+((1-$G$4)*Z117))*EXP(-$B$6*$G$1)</f>
        <v>1.0644632036059667</v>
      </c>
      <c r="AA116" s="72">
        <f>(($G$4*AB115)+((1-$G$4)*AB117))*EXP(-$B$6*$G$1)</f>
        <v>0.69773444079383007</v>
      </c>
      <c r="AC116" s="72">
        <f>(($G$4*AD115)+((1-$G$4)*AD117))*EXP(-$B$6*$G$1)</f>
        <v>0</v>
      </c>
      <c r="AE116" s="72">
        <f>IF(AE53&lt;=$B$2,0,IF(AE53&lt;=$B$3,$B$3-AE53,IF(AE53&lt;=$B$4,AE53-$B$3,0)))</f>
        <v>0</v>
      </c>
    </row>
    <row r="117" spans="1:31" x14ac:dyDescent="0.25">
      <c r="A117" s="73"/>
      <c r="G117" s="72"/>
      <c r="J117" s="72">
        <f>(($G$4*K116)+((1-$G$4)*K118))*EXP(-$B$6*$G$1)</f>
        <v>1.3515994562312539</v>
      </c>
      <c r="L117" s="72">
        <f>(($G$4*M116)+((1-$G$4)*M118))*EXP(-$B$6*$G$1)</f>
        <v>1.3073594263155455</v>
      </c>
      <c r="N117" s="72">
        <f>(($G$4*O116)+((1-$G$4)*O118))*EXP(-$B$6*$G$1)</f>
        <v>1.2505755528228475</v>
      </c>
      <c r="P117" s="72">
        <f>(($G$4*Q116)+((1-$G$4)*Q118))*EXP(-$B$6*$G$1)</f>
        <v>1.1779912351510498</v>
      </c>
      <c r="R117" s="72">
        <f>(($G$4*S116)+((1-$G$4)*S118))*EXP(-$B$6*$G$1)</f>
        <v>1.0852799807290983</v>
      </c>
      <c r="T117" s="72">
        <f>(($G$4*U116)+((1-$G$4)*U118))*EXP(-$B$6*$G$1)</f>
        <v>0.96652771185479514</v>
      </c>
      <c r="V117" s="72">
        <f>(($G$4*W116)+((1-$G$4)*W118))*EXP(-$B$6*$G$1)</f>
        <v>0.81328555963901428</v>
      </c>
      <c r="X117" s="72">
        <f>(($G$4*Y116)+((1-$G$4)*Y118))*EXP(-$B$6*$G$1)</f>
        <v>0.6127430262892205</v>
      </c>
      <c r="Z117" s="72">
        <f>(($G$4*AA116)+((1-$G$4)*AA118))*EXP(-$B$6*$G$1)</f>
        <v>0.34522429529566323</v>
      </c>
      <c r="AB117" s="72">
        <f>(($G$4*AC116)+((1-$G$4)*AC118))*EXP(-$B$6*$G$1)</f>
        <v>0</v>
      </c>
      <c r="AD117" s="72">
        <f>(($G$4*AE116)+((1-$G$4)*AE118))*EXP(-$B$6*$G$1)</f>
        <v>0</v>
      </c>
    </row>
    <row r="118" spans="1:31" x14ac:dyDescent="0.25">
      <c r="A118" s="73"/>
      <c r="G118" s="72"/>
      <c r="K118" s="72">
        <f>(($G$4*L117)+((1-$G$4)*L119))*EXP(-$B$6*$G$1)</f>
        <v>0.97132433288451092</v>
      </c>
      <c r="M118" s="72">
        <f>(($G$4*N117)+((1-$G$4)*N119))*EXP(-$B$6*$G$1)</f>
        <v>0.90732183097150243</v>
      </c>
      <c r="O118" s="72">
        <f>(($G$4*P117)+((1-$G$4)*P119))*EXP(-$B$6*$G$1)</f>
        <v>0.8306568576370772</v>
      </c>
      <c r="Q118" s="72">
        <f>(($G$4*R117)+((1-$G$4)*R119))*EXP(-$B$6*$G$1)</f>
        <v>0.73895314762964248</v>
      </c>
      <c r="S118" s="72">
        <f>(($G$4*T117)+((1-$G$4)*T119))*EXP(-$B$6*$G$1)</f>
        <v>0.62946398935784376</v>
      </c>
      <c r="U118" s="72">
        <f>(($G$4*V117)+((1-$G$4)*V119))*EXP(-$B$6*$G$1)</f>
        <v>0.49921561064016501</v>
      </c>
      <c r="W118" s="72">
        <f>(($G$4*X117)+((1-$G$4)*X119))*EXP(-$B$6*$G$1)</f>
        <v>0.34575749583985743</v>
      </c>
      <c r="Y118" s="72">
        <f>(($G$4*Z117)+((1-$G$4)*Z119))*EXP(-$B$6*$G$1)</f>
        <v>0.17080970508893528</v>
      </c>
      <c r="AA118" s="72">
        <f>(($G$4*AB117)+((1-$G$4)*AB119))*EXP(-$B$6*$G$1)</f>
        <v>0</v>
      </c>
      <c r="AC118" s="72">
        <f>(($G$4*AD117)+((1-$G$4)*AD119))*EXP(-$B$6*$G$1)</f>
        <v>0</v>
      </c>
      <c r="AE118" s="72">
        <f>IF(AE55&lt;=$B$2,0,IF(AE55&lt;=$B$3,$B$3-AE55,IF(AE55&lt;=$B$4,AE55-$B$3,0)))</f>
        <v>0</v>
      </c>
    </row>
    <row r="119" spans="1:31" x14ac:dyDescent="0.25">
      <c r="A119" s="73"/>
      <c r="G119" s="72"/>
      <c r="L119" s="72">
        <f>(($G$4*M118)+((1-$G$4)*M120))*EXP(-$B$6*$G$1)</f>
        <v>0.64393285165829883</v>
      </c>
      <c r="N119" s="72">
        <f>(($G$4*O118)+((1-$G$4)*O120))*EXP(-$B$6*$G$1)</f>
        <v>0.57267298220767171</v>
      </c>
      <c r="P119" s="72">
        <f>(($G$4*Q118)+((1-$G$4)*Q120))*EXP(-$B$6*$G$1)</f>
        <v>0.49179839959007376</v>
      </c>
      <c r="R119" s="72">
        <f>(($G$4*S118)+((1-$G$4)*S120))*EXP(-$B$6*$G$1)</f>
        <v>0.40084152446136179</v>
      </c>
      <c r="T119" s="72">
        <f>(($G$4*U118)+((1-$G$4)*U120))*EXP(-$B$6*$G$1)</f>
        <v>0.30015848592324529</v>
      </c>
      <c r="V119" s="72">
        <f>(($G$4*W118)+((1-$G$4)*W120))*EXP(-$B$6*$G$1)</f>
        <v>0.19214376163046076</v>
      </c>
      <c r="X119" s="72">
        <f>(($G$4*Y118)+((1-$G$4)*Y120))*EXP(-$B$6*$G$1)</f>
        <v>8.4513041956046697E-2</v>
      </c>
      <c r="Z119" s="72">
        <f>(($G$4*AA118)+((1-$G$4)*AA120))*EXP(-$B$6*$G$1)</f>
        <v>0</v>
      </c>
      <c r="AB119" s="72">
        <f>(($G$4*AC118)+((1-$G$4)*AC120))*EXP(-$B$6*$G$1)</f>
        <v>0</v>
      </c>
      <c r="AD119" s="72">
        <f>(($G$4*AE118)+((1-$G$4)*AE120))*EXP(-$B$6*$G$1)</f>
        <v>0</v>
      </c>
    </row>
    <row r="120" spans="1:31" x14ac:dyDescent="0.25">
      <c r="A120" s="73"/>
      <c r="D120" s="72"/>
      <c r="G120" s="72"/>
      <c r="M120" s="72">
        <f>(($G$4*N119)+((1-$G$4)*N121))*EXP(-$B$6*$G$1)</f>
        <v>0.38700839980351442</v>
      </c>
      <c r="O120" s="72">
        <f>(($G$4*P119)+((1-$G$4)*P121))*EXP(-$B$6*$G$1)</f>
        <v>0.32086748218172989</v>
      </c>
      <c r="Q120" s="72">
        <f>(($G$4*R119)+((1-$G$4)*R121))*EXP(-$B$6*$G$1)</f>
        <v>0.25041239057044645</v>
      </c>
      <c r="S120" s="72">
        <f>(($G$4*T119)+((1-$G$4)*T121))*EXP(-$B$6*$G$1)</f>
        <v>0.17741223743386184</v>
      </c>
      <c r="U120" s="72">
        <f>(($G$4*V119)+((1-$G$4)*V121))*EXP(-$B$6*$G$1)</f>
        <v>0.10549379421234885</v>
      </c>
      <c r="W120" s="72">
        <f>(($G$4*X119)+((1-$G$4)*X121))*EXP(-$B$6*$G$1)</f>
        <v>4.1815271895385898E-2</v>
      </c>
      <c r="Y120" s="72">
        <f>(($G$4*Z119)+((1-$G$4)*Z121))*EXP(-$B$6*$G$1)</f>
        <v>0</v>
      </c>
      <c r="AA120" s="72">
        <f>(($G$4*AB119)+((1-$G$4)*AB121))*EXP(-$B$6*$G$1)</f>
        <v>0</v>
      </c>
      <c r="AC120" s="72">
        <f>(($G$4*AD119)+((1-$G$4)*AD121))*EXP(-$B$6*$G$1)</f>
        <v>0</v>
      </c>
      <c r="AE120" s="72">
        <f>IF(AE57&lt;=$B$2,0,IF(AE57&lt;=$B$3,$B$3-AE57,IF(AE57&lt;=$B$4,AE57-$B$3,0)))</f>
        <v>0</v>
      </c>
    </row>
    <row r="121" spans="1:31" x14ac:dyDescent="0.25">
      <c r="A121" s="73"/>
      <c r="C121" s="72"/>
      <c r="D121" s="72"/>
      <c r="G121" s="72"/>
      <c r="N121" s="72">
        <f>(($G$4*O120)+((1-$G$4)*O122))*EXP(-$B$6*$G$1)</f>
        <v>0.20572378844438322</v>
      </c>
      <c r="P121" s="72">
        <f>(($G$4*Q120)+((1-$G$4)*Q122))*EXP(-$B$6*$G$1)</f>
        <v>0.15387527061150663</v>
      </c>
      <c r="R121" s="72">
        <f>(($G$4*S120)+((1-$G$4)*S122))*EXP(-$B$6*$G$1)</f>
        <v>0.10336500849580309</v>
      </c>
      <c r="T121" s="72">
        <f>(($G$4*U120)+((1-$G$4)*U122))*EXP(-$B$6*$G$1)</f>
        <v>5.7354230967501765E-2</v>
      </c>
      <c r="V121" s="72">
        <f>(($G$4*W120)+((1-$G$4)*W122))*EXP(-$B$6*$G$1)</f>
        <v>2.068931520172252E-2</v>
      </c>
      <c r="X121" s="72">
        <f>(($G$4*Y120)+((1-$G$4)*Y122))*EXP(-$B$6*$G$1)</f>
        <v>0</v>
      </c>
      <c r="Z121" s="72">
        <f>(($G$4*AA120)+((1-$G$4)*AA122))*EXP(-$B$6*$G$1)</f>
        <v>0</v>
      </c>
      <c r="AB121" s="72">
        <f>(($G$4*AC120)+((1-$G$4)*AC122))*EXP(-$B$6*$G$1)</f>
        <v>0</v>
      </c>
      <c r="AD121" s="72">
        <f>(($G$4*AE120)+((1-$G$4)*AE122))*EXP(-$B$6*$G$1)</f>
        <v>0</v>
      </c>
    </row>
    <row r="122" spans="1:31" x14ac:dyDescent="0.25">
      <c r="A122" s="73"/>
      <c r="B122" s="72"/>
      <c r="D122" s="72"/>
      <c r="G122" s="72"/>
      <c r="O122" s="72">
        <f>(($G$4*P121)+((1-$G$4)*P123))*EXP(-$B$6*$G$1)</f>
        <v>9.3205756474054949E-2</v>
      </c>
      <c r="Q122" s="72">
        <f>(($G$4*R121)+((1-$G$4)*R123))*EXP(-$B$6*$G$1)</f>
        <v>5.9490323352696717E-2</v>
      </c>
      <c r="S122" s="72">
        <f>(($G$4*T121)+((1-$G$4)*T123))*EXP(-$B$6*$G$1)</f>
        <v>3.0929796203386303E-2</v>
      </c>
      <c r="U122" s="72">
        <f>(($G$4*V121)+((1-$G$4)*V123))*EXP(-$B$6*$G$1)</f>
        <v>1.0236637097257747E-2</v>
      </c>
      <c r="W122" s="72">
        <f>(($G$4*X121)+((1-$G$4)*X123))*EXP(-$B$6*$G$1)</f>
        <v>0</v>
      </c>
      <c r="Y122" s="72">
        <f>(($G$4*Z121)+((1-$G$4)*Z123))*EXP(-$B$6*$G$1)</f>
        <v>0</v>
      </c>
      <c r="AA122" s="72">
        <f>(($G$4*AB121)+((1-$G$4)*AB123))*EXP(-$B$6*$G$1)</f>
        <v>0</v>
      </c>
      <c r="AC122" s="72">
        <f>(($G$4*AD121)+((1-$G$4)*AD123))*EXP(-$B$6*$G$1)</f>
        <v>0</v>
      </c>
      <c r="AE122" s="72">
        <f>IF(AE59&lt;=$B$2,0,IF(AE59&lt;=$B$3,$B$3-AE59,IF(AE59&lt;=$B$4,AE59-$B$3,0)))</f>
        <v>0</v>
      </c>
    </row>
    <row r="123" spans="1:31" x14ac:dyDescent="0.25">
      <c r="A123" s="72"/>
      <c r="C123" s="72"/>
      <c r="D123" s="72"/>
      <c r="G123" s="72"/>
      <c r="P123" s="72">
        <f>(($G$4*Q122)+((1-$G$4)*Q124))*EXP(-$B$6*$G$1)</f>
        <v>3.3879541412427369E-2</v>
      </c>
      <c r="R123" s="72">
        <f>(($G$4*S122)+((1-$G$4)*S124))*EXP(-$B$6*$G$1)</f>
        <v>1.6566152167567745E-2</v>
      </c>
      <c r="T123" s="72">
        <f>(($G$4*U122)+((1-$G$4)*U124))*EXP(-$B$6*$G$1)</f>
        <v>5.0648722801723833E-3</v>
      </c>
      <c r="V123" s="72">
        <f>(($G$4*W122)+((1-$G$4)*W124))*EXP(-$B$6*$G$1)</f>
        <v>0</v>
      </c>
      <c r="X123" s="72">
        <f>(($G$4*Y122)+((1-$G$4)*Y124))*EXP(-$B$6*$G$1)</f>
        <v>0</v>
      </c>
      <c r="Z123" s="72">
        <f>(($G$4*AA122)+((1-$G$4)*AA124))*EXP(-$B$6*$G$1)</f>
        <v>0</v>
      </c>
      <c r="AB123" s="72">
        <f>(($G$4*AC122)+((1-$G$4)*AC124))*EXP(-$B$6*$G$1)</f>
        <v>0</v>
      </c>
      <c r="AD123" s="72">
        <f>(($G$4*AE122)+((1-$G$4)*AE124))*EXP(-$B$6*$G$1)</f>
        <v>0</v>
      </c>
    </row>
    <row r="124" spans="1:31" x14ac:dyDescent="0.25">
      <c r="A124" s="76"/>
      <c r="B124" s="72"/>
      <c r="C124" s="72"/>
      <c r="D124" s="72"/>
      <c r="E124" s="72"/>
      <c r="Q124" s="72">
        <f>(($G$4*R123)+((1-$G$4)*R125))*EXP(-$B$6*$G$1)</f>
        <v>8.8213605174121135E-3</v>
      </c>
      <c r="S124" s="72">
        <f>(($G$4*T123)+((1-$G$4)*T125))*EXP(-$B$6*$G$1)</f>
        <v>2.5059920529302208E-3</v>
      </c>
      <c r="U124" s="72">
        <f>(($G$4*V123)+((1-$G$4)*V125))*EXP(-$B$6*$G$1)</f>
        <v>0</v>
      </c>
      <c r="W124" s="72">
        <f>(($G$4*X123)+((1-$G$4)*X125))*EXP(-$B$6*$G$1)</f>
        <v>0</v>
      </c>
      <c r="Y124" s="72">
        <f>(($G$4*Z123)+((1-$G$4)*Z125))*EXP(-$B$6*$G$1)</f>
        <v>0</v>
      </c>
      <c r="AA124" s="72">
        <f>(($G$4*AB123)+((1-$G$4)*AB125))*EXP(-$B$6*$G$1)</f>
        <v>0</v>
      </c>
      <c r="AC124" s="72">
        <f>(($G$4*AD123)+((1-$G$4)*AD125))*EXP(-$B$6*$G$1)</f>
        <v>0</v>
      </c>
      <c r="AE124" s="72">
        <f>IF(AE61&lt;=$B$2,0,IF(AE61&lt;=$B$3,$B$3-AE61,IF(AE61&lt;=$B$4,AE61-$B$3,0)))</f>
        <v>0</v>
      </c>
    </row>
    <row r="125" spans="1:31" x14ac:dyDescent="0.25">
      <c r="A125" s="73"/>
      <c r="B125" s="72"/>
      <c r="C125" s="72"/>
      <c r="D125" s="72"/>
      <c r="E125" s="72"/>
      <c r="I125" s="72"/>
      <c r="R125" s="72">
        <f>(($G$4*S124)+((1-$G$4)*S126))*EXP(-$B$6*$G$1)</f>
        <v>1.239912049497067E-3</v>
      </c>
      <c r="T125" s="72">
        <f>(($G$4*U124)+((1-$G$4)*U126))*EXP(-$B$6*$G$1)</f>
        <v>0</v>
      </c>
      <c r="V125" s="72">
        <f>(($G$4*W124)+((1-$G$4)*W126))*EXP(-$B$6*$G$1)</f>
        <v>0</v>
      </c>
      <c r="X125" s="72">
        <f>(($G$4*Y124)+((1-$G$4)*Y126))*EXP(-$B$6*$G$1)</f>
        <v>0</v>
      </c>
      <c r="Z125" s="72">
        <f>(($G$4*AA124)+((1-$G$4)*AA126))*EXP(-$B$6*$G$1)</f>
        <v>0</v>
      </c>
      <c r="AB125" s="72">
        <f>(($G$4*AC124)+((1-$G$4)*AC126))*EXP(-$B$6*$G$1)</f>
        <v>0</v>
      </c>
      <c r="AD125" s="72">
        <f>(($G$4*AE124)+((1-$G$4)*AE126))*EXP(-$B$6*$G$1)</f>
        <v>0</v>
      </c>
    </row>
    <row r="126" spans="1:31" x14ac:dyDescent="0.25">
      <c r="A126" s="73"/>
      <c r="C126" s="72"/>
      <c r="D126" s="72"/>
      <c r="E126" s="72"/>
      <c r="S126" s="72">
        <f>(($G$4*T125)+((1-$G$4)*T127))*EXP(-$B$6*$G$1)</f>
        <v>0</v>
      </c>
      <c r="U126" s="72">
        <f>(($G$4*V125)+((1-$G$4)*V127))*EXP(-$B$6*$G$1)</f>
        <v>0</v>
      </c>
      <c r="W126" s="72">
        <f>(($G$4*X125)+((1-$G$4)*X127))*EXP(-$B$6*$G$1)</f>
        <v>0</v>
      </c>
      <c r="Y126" s="72">
        <f>(($G$4*Z125)+((1-$G$4)*Z127))*EXP(-$B$6*$G$1)</f>
        <v>0</v>
      </c>
      <c r="AA126" s="72">
        <f>(($G$4*AB125)+((1-$G$4)*AB127))*EXP(-$B$6*$G$1)</f>
        <v>0</v>
      </c>
      <c r="AC126" s="72">
        <f>(($G$4*AD125)+((1-$G$4)*AD127))*EXP(-$B$6*$G$1)</f>
        <v>0</v>
      </c>
      <c r="AE126" s="72">
        <f>IF(AE63&lt;=$B$2,0,IF(AE63&lt;=$B$3,$B$3-AE63,IF(AE63&lt;=$B$4,AE63-$B$3,0)))</f>
        <v>0</v>
      </c>
    </row>
    <row r="127" spans="1:31" x14ac:dyDescent="0.25">
      <c r="E127" s="72"/>
      <c r="T127" s="72">
        <f>(($G$4*U126)+((1-$G$4)*U128))*EXP(-$B$6*$G$1)</f>
        <v>0</v>
      </c>
      <c r="V127" s="72">
        <f>(($G$4*W126)+((1-$G$4)*W128))*EXP(-$B$6*$G$1)</f>
        <v>0</v>
      </c>
      <c r="X127" s="72">
        <f>(($G$4*Y126)+((1-$G$4)*Y128))*EXP(-$B$6*$G$1)</f>
        <v>0</v>
      </c>
      <c r="Z127" s="72">
        <f>(($G$4*AA126)+((1-$G$4)*AA128))*EXP(-$B$6*$G$1)</f>
        <v>0</v>
      </c>
      <c r="AB127" s="72">
        <f>(($G$4*AC126)+((1-$G$4)*AC128))*EXP(-$B$6*$G$1)</f>
        <v>0</v>
      </c>
      <c r="AD127" s="72">
        <f>(($G$4*AE126)+((1-$G$4)*AE128))*EXP(-$B$6*$G$1)</f>
        <v>0</v>
      </c>
    </row>
    <row r="128" spans="1:31" x14ac:dyDescent="0.25">
      <c r="E128" s="72"/>
      <c r="M128" s="72"/>
      <c r="U128" s="72">
        <f>(($G$4*V127)+((1-$G$4)*V129))*EXP(-$B$6*$G$1)</f>
        <v>0</v>
      </c>
      <c r="W128" s="72">
        <f>(($G$4*X127)+((1-$G$4)*X129))*EXP(-$B$6*$G$1)</f>
        <v>0</v>
      </c>
      <c r="Y128" s="72">
        <f>(($G$4*Z127)+((1-$G$4)*Z129))*EXP(-$B$6*$G$1)</f>
        <v>0</v>
      </c>
      <c r="AA128" s="72">
        <f>(($G$4*AB127)+((1-$G$4)*AB129))*EXP(-$B$6*$G$1)</f>
        <v>0</v>
      </c>
      <c r="AC128" s="72">
        <f>(($G$4*AD127)+((1-$G$4)*AD129))*EXP(-$B$6*$G$1)</f>
        <v>0</v>
      </c>
      <c r="AE128" s="72">
        <f>IF(AE65&lt;=$B$2,0,IF(AE65&lt;=$B$3,$B$3-AE65,IF(AE65&lt;=$B$4,AE65-$B$3,0)))</f>
        <v>0</v>
      </c>
    </row>
    <row r="129" spans="5:31" x14ac:dyDescent="0.25">
      <c r="E129" s="72"/>
      <c r="V129" s="72">
        <f>(($G$4*W128)+((1-$G$4)*W130))*EXP(-$B$6*$G$1)</f>
        <v>0</v>
      </c>
      <c r="X129" s="72">
        <f>(($G$4*Y128)+((1-$G$4)*Y130))*EXP(-$B$6*$G$1)</f>
        <v>0</v>
      </c>
      <c r="Z129" s="72">
        <f>(($G$4*AA128)+((1-$G$4)*AA130))*EXP(-$B$6*$G$1)</f>
        <v>0</v>
      </c>
      <c r="AB129" s="72">
        <f>(($G$4*AC128)+((1-$G$4)*AC130))*EXP(-$B$6*$G$1)</f>
        <v>0</v>
      </c>
      <c r="AD129" s="72">
        <f>(($G$4*AE128)+((1-$G$4)*AE130))*EXP(-$B$6*$G$1)</f>
        <v>0</v>
      </c>
    </row>
    <row r="130" spans="5:31" x14ac:dyDescent="0.25">
      <c r="O130" s="72"/>
      <c r="W130" s="72">
        <f>(($G$4*X129)+((1-$G$4)*X131))*EXP(-$B$6*$G$1)</f>
        <v>0</v>
      </c>
      <c r="Y130" s="72">
        <f>(($G$4*Z129)+((1-$G$4)*Z131))*EXP(-$B$6*$G$1)</f>
        <v>0</v>
      </c>
      <c r="AA130" s="72">
        <f>(($G$4*AB129)+((1-$G$4)*AB131))*EXP(-$B$6*$G$1)</f>
        <v>0</v>
      </c>
      <c r="AC130" s="72">
        <f>(($G$4*AD129)+((1-$G$4)*AD131))*EXP(-$B$6*$G$1)</f>
        <v>0</v>
      </c>
      <c r="AE130" s="72">
        <f>IF(AE67&lt;=$B$2,0,IF(AE67&lt;=$B$3,$B$3-AE67,IF(AE67&lt;=$B$4,AE67-$B$3,0)))</f>
        <v>0</v>
      </c>
    </row>
    <row r="131" spans="5:31" x14ac:dyDescent="0.25">
      <c r="X131" s="72">
        <f>(($G$4*Y130)+((1-$G$4)*Y132))*EXP(-$B$6*$G$1)</f>
        <v>0</v>
      </c>
      <c r="Z131" s="72">
        <f>(($G$4*AA130)+((1-$G$4)*AA132))*EXP(-$B$6*$G$1)</f>
        <v>0</v>
      </c>
      <c r="AB131" s="72">
        <f>(($G$4*AC130)+((1-$G$4)*AC132))*EXP(-$B$6*$G$1)</f>
        <v>0</v>
      </c>
      <c r="AD131" s="72">
        <f>(($G$4*AE130)+((1-$G$4)*AE132))*EXP(-$B$6*$G$1)</f>
        <v>0</v>
      </c>
    </row>
    <row r="132" spans="5:31" x14ac:dyDescent="0.25">
      <c r="Q132" s="72"/>
      <c r="Y132" s="72">
        <f>(($G$4*Z131)+((1-$G$4)*Z133))*EXP(-$B$6*$G$1)</f>
        <v>0</v>
      </c>
      <c r="AA132" s="72">
        <f>(($G$4*AB131)+((1-$G$4)*AB133))*EXP(-$B$6*$G$1)</f>
        <v>0</v>
      </c>
      <c r="AC132" s="72">
        <f>(($G$4*AD131)+((1-$G$4)*AD133))*EXP(-$B$6*$G$1)</f>
        <v>0</v>
      </c>
      <c r="AE132" s="72">
        <f>IF(AE69&lt;=$B$2,0,IF(AE69&lt;=$B$3,$B$3-AE69,IF(AE69&lt;=$B$4,AE69-$B$3,0)))</f>
        <v>0</v>
      </c>
    </row>
    <row r="133" spans="5:31" x14ac:dyDescent="0.25">
      <c r="Z133" s="72">
        <f>(($G$4*AA132)+((1-$G$4)*AA134))*EXP(-$B$6*$G$1)</f>
        <v>0</v>
      </c>
      <c r="AB133" s="72">
        <f>(($G$4*AC132)+((1-$G$4)*AC134))*EXP(-$B$6*$G$1)</f>
        <v>0</v>
      </c>
      <c r="AD133" s="72">
        <f>(($G$4*AE132)+((1-$G$4)*AE134))*EXP(-$B$6*$G$1)</f>
        <v>0</v>
      </c>
    </row>
    <row r="134" spans="5:31" x14ac:dyDescent="0.25">
      <c r="S134" s="72"/>
      <c r="AA134" s="72">
        <f>(($G$4*AB133)+((1-$G$4)*AB135))*EXP(-$B$6*$G$1)</f>
        <v>0</v>
      </c>
      <c r="AC134" s="72">
        <f>(($G$4*AD133)+((1-$G$4)*AD135))*EXP(-$B$6*$G$1)</f>
        <v>0</v>
      </c>
      <c r="AE134" s="72">
        <f>IF(AE71&lt;=$B$2,0,IF(AE71&lt;=$B$3,$B$3-AE71,IF(AE71&lt;=$B$4,AE71-$B$3,0)))</f>
        <v>0</v>
      </c>
    </row>
    <row r="135" spans="5:31" x14ac:dyDescent="0.25">
      <c r="AB135" s="72">
        <f>(($G$4*AC134)+((1-$G$4)*AC136))*EXP(-$B$6*$G$1)</f>
        <v>0</v>
      </c>
      <c r="AD135" s="72">
        <f>(($G$4*AE134)+((1-$G$4)*AE136))*EXP(-$B$6*$G$1)</f>
        <v>0</v>
      </c>
    </row>
    <row r="136" spans="5:31" x14ac:dyDescent="0.25">
      <c r="U136" s="72"/>
      <c r="AC136" s="72">
        <f>(($G$4*AD135)+((1-$G$4)*AD137))*EXP(-$B$6*$G$1)</f>
        <v>0</v>
      </c>
      <c r="AE136" s="72">
        <f>IF(AE73&lt;=$B$2,0,IF(AE73&lt;=$B$3,$B$3-AE73,IF(AE73&lt;=$B$4,AE73-$B$3,0)))</f>
        <v>0</v>
      </c>
    </row>
    <row r="137" spans="5:31" x14ac:dyDescent="0.25">
      <c r="AD137" s="72">
        <f>(($G$4*AE136)+((1-$G$4)*AE138))*EXP(-$B$6*$G$1)</f>
        <v>0</v>
      </c>
    </row>
    <row r="138" spans="5:31" x14ac:dyDescent="0.25">
      <c r="AE138" s="72">
        <f>IF(AE75&lt;=$B$2,0,IF(AE75&lt;=$B$3,$B$3-AE75,IF(AE75&lt;=$B$4,AE75-$B$3,0)))</f>
        <v>0</v>
      </c>
    </row>
  </sheetData>
  <mergeCells count="1">
    <mergeCell ref="E1:E5"/>
  </mergeCells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7EFF-44A5-4BD8-88C3-FC5CBE665E49}">
  <dimension ref="D8:H16"/>
  <sheetViews>
    <sheetView tabSelected="1" workbookViewId="0">
      <selection activeCell="I10" sqref="I10"/>
    </sheetView>
  </sheetViews>
  <sheetFormatPr defaultRowHeight="12.5" x14ac:dyDescent="0.25"/>
  <cols>
    <col min="1" max="5" width="8.7265625" style="79"/>
    <col min="6" max="6" width="15.54296875" style="79" customWidth="1"/>
    <col min="7" max="16384" width="8.7265625" style="79"/>
  </cols>
  <sheetData>
    <row r="8" spans="4:8" x14ac:dyDescent="0.25">
      <c r="D8" s="169" t="s">
        <v>135</v>
      </c>
      <c r="E8" s="170"/>
      <c r="F8" s="171"/>
      <c r="G8" s="78">
        <f>'Question 2a_3'!I21</f>
        <v>4.4145601571956243</v>
      </c>
    </row>
    <row r="9" spans="4:8" x14ac:dyDescent="0.25">
      <c r="D9" s="196" t="s">
        <v>136</v>
      </c>
      <c r="E9" s="197"/>
      <c r="F9" s="198"/>
      <c r="G9" s="80">
        <f>EXP(-0.05*1)</f>
        <v>0.95122942450071402</v>
      </c>
    </row>
    <row r="10" spans="4:8" x14ac:dyDescent="0.25">
      <c r="D10" s="196" t="s">
        <v>137</v>
      </c>
      <c r="E10" s="197"/>
      <c r="F10" s="198"/>
      <c r="G10" s="80">
        <f>'Question 2a_3'!I12</f>
        <v>1.0115124370617821</v>
      </c>
    </row>
    <row r="11" spans="4:8" x14ac:dyDescent="0.25">
      <c r="D11" s="196" t="s">
        <v>138</v>
      </c>
      <c r="E11" s="197"/>
      <c r="F11" s="198"/>
      <c r="G11" s="80">
        <f>'Question 2a_3'!L12</f>
        <v>-0.34003792329876603</v>
      </c>
    </row>
    <row r="12" spans="4:8" x14ac:dyDescent="0.25">
      <c r="D12" s="196" t="s">
        <v>139</v>
      </c>
      <c r="E12" s="197"/>
      <c r="F12" s="198"/>
      <c r="G12" s="164">
        <f>NORMSDIST(G10)</f>
        <v>0.84411438421771623</v>
      </c>
    </row>
    <row r="13" spans="4:8" x14ac:dyDescent="0.25">
      <c r="D13" s="196" t="s">
        <v>140</v>
      </c>
      <c r="E13" s="197"/>
      <c r="F13" s="198"/>
      <c r="G13" s="164">
        <f>NORMSDIST(G11)</f>
        <v>0.36691398452474977</v>
      </c>
    </row>
    <row r="14" spans="4:8" x14ac:dyDescent="0.25">
      <c r="D14" s="193" t="s">
        <v>141</v>
      </c>
      <c r="E14" s="194"/>
      <c r="F14" s="195"/>
      <c r="G14" s="163">
        <f>G12-G13</f>
        <v>0.47720039969296646</v>
      </c>
      <c r="H14" s="206"/>
    </row>
    <row r="15" spans="4:8" x14ac:dyDescent="0.25">
      <c r="D15" s="175" t="s">
        <v>142</v>
      </c>
      <c r="E15" s="176"/>
      <c r="F15" s="177"/>
      <c r="G15" s="81">
        <f>G8/(G9*G14)</f>
        <v>9.7252632216128472</v>
      </c>
    </row>
    <row r="16" spans="4:8" x14ac:dyDescent="0.25">
      <c r="H16" s="207"/>
    </row>
  </sheetData>
  <mergeCells count="8">
    <mergeCell ref="D14:F14"/>
    <mergeCell ref="D15:F15"/>
    <mergeCell ref="D8:F8"/>
    <mergeCell ref="D9:F9"/>
    <mergeCell ref="D10:F10"/>
    <mergeCell ref="D11:F11"/>
    <mergeCell ref="D12:F12"/>
    <mergeCell ref="D13:F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CD20-DEA1-48C3-8ACF-DF9139062154}">
  <dimension ref="A1"/>
  <sheetViews>
    <sheetView workbookViewId="0">
      <selection activeCell="O6" sqref="O6"/>
    </sheetView>
  </sheetViews>
  <sheetFormatPr defaultRowHeight="12.5" x14ac:dyDescent="0.25"/>
  <cols>
    <col min="1" max="16384" width="8.7265625" style="47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EB35-E49D-4D91-BE71-DF76C2DC75EB}">
  <dimension ref="A1:AM132"/>
  <sheetViews>
    <sheetView topLeftCell="E9" zoomScale="110" zoomScaleNormal="110" workbookViewId="0">
      <selection activeCell="L27" sqref="L27"/>
    </sheetView>
  </sheetViews>
  <sheetFormatPr defaultColWidth="9.1796875" defaultRowHeight="12.5" x14ac:dyDescent="0.25"/>
  <cols>
    <col min="1" max="1" width="20.453125" style="17" bestFit="1" customWidth="1"/>
    <col min="2" max="8" width="9.1796875" style="17"/>
    <col min="9" max="9" width="12.453125" style="17" bestFit="1" customWidth="1"/>
    <col min="10" max="10" width="20.26953125" style="17" bestFit="1" customWidth="1"/>
    <col min="11" max="11" width="12.08984375" style="17" customWidth="1"/>
    <col min="12" max="16384" width="9.1796875" style="17"/>
  </cols>
  <sheetData>
    <row r="1" spans="1:39" ht="25" customHeight="1" x14ac:dyDescent="0.25">
      <c r="A1" s="165" t="s">
        <v>24</v>
      </c>
      <c r="B1" s="167" t="str">
        <f>K3</f>
        <v>P</v>
      </c>
      <c r="C1" s="167" t="str">
        <f>L3</f>
        <v>P</v>
      </c>
      <c r="D1" s="167" t="str">
        <f t="shared" ref="D1:E1" si="0">M3</f>
        <v>C</v>
      </c>
      <c r="E1" s="167" t="str">
        <f t="shared" si="0"/>
        <v>C</v>
      </c>
      <c r="F1" s="178" t="s">
        <v>25</v>
      </c>
      <c r="G1" s="183" t="s">
        <v>45</v>
      </c>
      <c r="H1" s="165" t="s">
        <v>46</v>
      </c>
      <c r="I1" s="181" t="s">
        <v>55</v>
      </c>
      <c r="J1" s="182"/>
      <c r="K1" s="18" t="s">
        <v>26</v>
      </c>
      <c r="L1" s="18" t="s">
        <v>27</v>
      </c>
      <c r="M1" s="18" t="s">
        <v>28</v>
      </c>
      <c r="N1" s="18" t="s">
        <v>29</v>
      </c>
    </row>
    <row r="2" spans="1:39" x14ac:dyDescent="0.25">
      <c r="A2" s="166"/>
      <c r="B2" s="168"/>
      <c r="C2" s="168"/>
      <c r="D2" s="168"/>
      <c r="E2" s="168"/>
      <c r="F2" s="178"/>
      <c r="G2" s="184"/>
      <c r="H2" s="186"/>
      <c r="I2" s="187" t="s">
        <v>30</v>
      </c>
      <c r="J2" s="20" t="s">
        <v>31</v>
      </c>
      <c r="K2" s="189">
        <v>100</v>
      </c>
      <c r="L2" s="189"/>
      <c r="M2" s="189"/>
      <c r="N2" s="189"/>
    </row>
    <row r="3" spans="1:39" x14ac:dyDescent="0.25">
      <c r="A3" s="22" t="s">
        <v>32</v>
      </c>
      <c r="B3" s="169" t="s">
        <v>33</v>
      </c>
      <c r="C3" s="170"/>
      <c r="D3" s="170"/>
      <c r="E3" s="171"/>
      <c r="F3" s="165"/>
      <c r="G3" s="185"/>
      <c r="H3" s="166"/>
      <c r="I3" s="188"/>
      <c r="J3" s="25" t="s">
        <v>34</v>
      </c>
      <c r="K3" s="21" t="s">
        <v>79</v>
      </c>
      <c r="L3" s="21" t="s">
        <v>79</v>
      </c>
      <c r="M3" s="21" t="s">
        <v>35</v>
      </c>
      <c r="N3" s="21" t="s">
        <v>35</v>
      </c>
    </row>
    <row r="4" spans="1:39" x14ac:dyDescent="0.25">
      <c r="A4" s="23">
        <v>50</v>
      </c>
      <c r="B4" s="26">
        <f>(MAX(IF($B$1="C",1,-1)*(A4-$K$5),0)-IF($K$10="Y",$K$13*EXP($K$6*$K$9),0))*$K$4</f>
        <v>40</v>
      </c>
      <c r="C4" s="20">
        <f>(MAX(IF($C$1="C",1,-1)*(A4-$L$5),0)-IF($K$10="Y",$L$13*EXP($K$6*$K$9),0))*$L$4</f>
        <v>0</v>
      </c>
      <c r="D4" s="20">
        <f>(MAX(IF($D$1="C",1,-1)*(A4-$M$5),0)-IF($K$10="Y",$M$13*EXP($K$6*$K$9),0))*$M$4</f>
        <v>0</v>
      </c>
      <c r="E4" s="20">
        <f>(MAX(IF($E$1="C",1,-1)*(A4-$N$5),0)-IF($K$10="Y",$N$13*EXP($K$6*$K$9),0))*$N$4</f>
        <v>0</v>
      </c>
      <c r="F4" s="27">
        <f>SUM(B4:E4)</f>
        <v>40</v>
      </c>
      <c r="G4" s="48">
        <f>IF(A4&lt;=$K$18,$K$18-A4,IF(A4&gt;$K$19,A4-$K$19,0))</f>
        <v>40</v>
      </c>
      <c r="H4" s="41">
        <f>F4-G4</f>
        <v>0</v>
      </c>
      <c r="I4" s="186"/>
      <c r="J4" s="25" t="s">
        <v>36</v>
      </c>
      <c r="K4" s="21">
        <v>1</v>
      </c>
      <c r="L4" s="21">
        <v>0</v>
      </c>
      <c r="M4" s="21">
        <v>0</v>
      </c>
      <c r="N4" s="21">
        <v>1</v>
      </c>
      <c r="AL4" s="17" t="s">
        <v>47</v>
      </c>
      <c r="AM4" s="17" t="s">
        <v>48</v>
      </c>
    </row>
    <row r="5" spans="1:39" x14ac:dyDescent="0.25">
      <c r="A5" s="28">
        <f>A4+1</f>
        <v>51</v>
      </c>
      <c r="B5" s="29">
        <f t="shared" ref="B5:B68" si="1">(MAX(IF($B$1="C",1,-1)*(A5-$K$5),0)-IF($K$10="Y",$K$13*EXP($K$6*$K$9),0))*$K$4</f>
        <v>39</v>
      </c>
      <c r="C5" s="30">
        <f t="shared" ref="C5:C68" si="2">(MAX(IF($C$1="C",1,-1)*(A5-$L$5),0)-IF($K$10="Y",$L$13*EXP($K$6*$K$9),0))*$L$4</f>
        <v>0</v>
      </c>
      <c r="D5" s="30">
        <f t="shared" ref="D5:D68" si="3">(MAX(IF($D$1="C",1,-1)*(A5-$M$5),0)-IF($K$10="Y",$M$13*EXP($K$6*$K$9),0))*$M$4</f>
        <v>0</v>
      </c>
      <c r="E5" s="30">
        <f t="shared" ref="E5:E68" si="4">(MAX(IF($E$1="C",1,-1)*(A5-$N$5),0)-IF($K$10="Y",$N$13*EXP($K$6*$K$9),0))*$N$4</f>
        <v>0</v>
      </c>
      <c r="F5" s="31">
        <f t="shared" ref="F5:F68" si="5">SUM(B5:E5)</f>
        <v>39</v>
      </c>
      <c r="G5" s="48">
        <f t="shared" ref="G5:G68" si="6">IF(A5&lt;=$K$18,$K$18-A5,IF(A5&gt;$K$19,A5-$K$19,0))</f>
        <v>39</v>
      </c>
      <c r="H5" s="41">
        <f t="shared" ref="H5:H68" si="7">F5-G5</f>
        <v>0</v>
      </c>
      <c r="I5" s="186"/>
      <c r="J5" s="30" t="s">
        <v>37</v>
      </c>
      <c r="K5" s="21">
        <v>90</v>
      </c>
      <c r="L5" s="21">
        <v>100</v>
      </c>
      <c r="M5" s="21">
        <v>100</v>
      </c>
      <c r="N5" s="21">
        <v>110</v>
      </c>
      <c r="AL5" s="17">
        <v>0</v>
      </c>
      <c r="AM5" s="17">
        <f>MAX(0,(AL5^2)-120)</f>
        <v>0</v>
      </c>
    </row>
    <row r="6" spans="1:39" x14ac:dyDescent="0.25">
      <c r="A6" s="28">
        <f t="shared" ref="A6:A69" si="8">A5+1</f>
        <v>52</v>
      </c>
      <c r="B6" s="29">
        <f t="shared" si="1"/>
        <v>38</v>
      </c>
      <c r="C6" s="30">
        <f t="shared" si="2"/>
        <v>0</v>
      </c>
      <c r="D6" s="30">
        <f t="shared" si="3"/>
        <v>0</v>
      </c>
      <c r="E6" s="30">
        <f t="shared" si="4"/>
        <v>0</v>
      </c>
      <c r="F6" s="31">
        <f t="shared" si="5"/>
        <v>38</v>
      </c>
      <c r="G6" s="48">
        <f t="shared" si="6"/>
        <v>38</v>
      </c>
      <c r="H6" s="41">
        <f t="shared" si="7"/>
        <v>0</v>
      </c>
      <c r="I6" s="186"/>
      <c r="J6" s="30" t="s">
        <v>38</v>
      </c>
      <c r="K6" s="172">
        <v>0.05</v>
      </c>
      <c r="L6" s="173"/>
      <c r="M6" s="173"/>
      <c r="N6" s="174"/>
      <c r="AL6" s="17">
        <f>AL5+2</f>
        <v>2</v>
      </c>
      <c r="AM6" s="17">
        <f t="shared" ref="AM6:AM69" si="9">MAX(0,(AL6^2)-120)</f>
        <v>0</v>
      </c>
    </row>
    <row r="7" spans="1:39" x14ac:dyDescent="0.25">
      <c r="A7" s="28">
        <f t="shared" si="8"/>
        <v>53</v>
      </c>
      <c r="B7" s="29">
        <f t="shared" si="1"/>
        <v>37</v>
      </c>
      <c r="C7" s="30">
        <f t="shared" si="2"/>
        <v>0</v>
      </c>
      <c r="D7" s="30">
        <f t="shared" si="3"/>
        <v>0</v>
      </c>
      <c r="E7" s="30">
        <f t="shared" si="4"/>
        <v>0</v>
      </c>
      <c r="F7" s="31">
        <f t="shared" si="5"/>
        <v>37</v>
      </c>
      <c r="G7" s="48">
        <f t="shared" si="6"/>
        <v>37</v>
      </c>
      <c r="H7" s="41">
        <f t="shared" si="7"/>
        <v>0</v>
      </c>
      <c r="I7" s="186"/>
      <c r="J7" s="30" t="s">
        <v>39</v>
      </c>
      <c r="K7" s="172">
        <v>0.02</v>
      </c>
      <c r="L7" s="173"/>
      <c r="M7" s="173"/>
      <c r="N7" s="174"/>
      <c r="AL7" s="17">
        <f t="shared" ref="AL7:AL70" si="10">AL6+2</f>
        <v>4</v>
      </c>
      <c r="AM7" s="17">
        <f t="shared" si="9"/>
        <v>0</v>
      </c>
    </row>
    <row r="8" spans="1:39" x14ac:dyDescent="0.25">
      <c r="A8" s="28">
        <f t="shared" si="8"/>
        <v>54</v>
      </c>
      <c r="B8" s="29">
        <f t="shared" si="1"/>
        <v>36</v>
      </c>
      <c r="C8" s="30">
        <f t="shared" si="2"/>
        <v>0</v>
      </c>
      <c r="D8" s="30">
        <f t="shared" si="3"/>
        <v>0</v>
      </c>
      <c r="E8" s="30">
        <f t="shared" si="4"/>
        <v>0</v>
      </c>
      <c r="F8" s="31">
        <f t="shared" si="5"/>
        <v>36</v>
      </c>
      <c r="G8" s="48">
        <f t="shared" si="6"/>
        <v>36</v>
      </c>
      <c r="H8" s="41">
        <f t="shared" si="7"/>
        <v>0</v>
      </c>
      <c r="I8" s="186"/>
      <c r="J8" s="30" t="s">
        <v>40</v>
      </c>
      <c r="K8" s="172">
        <v>0.3</v>
      </c>
      <c r="L8" s="173"/>
      <c r="M8" s="173"/>
      <c r="N8" s="174"/>
      <c r="AL8" s="17">
        <f t="shared" si="10"/>
        <v>6</v>
      </c>
      <c r="AM8" s="17">
        <f t="shared" si="9"/>
        <v>0</v>
      </c>
    </row>
    <row r="9" spans="1:39" x14ac:dyDescent="0.25">
      <c r="A9" s="28">
        <f t="shared" si="8"/>
        <v>55</v>
      </c>
      <c r="B9" s="29">
        <f t="shared" si="1"/>
        <v>35</v>
      </c>
      <c r="C9" s="30">
        <f t="shared" si="2"/>
        <v>0</v>
      </c>
      <c r="D9" s="30">
        <f t="shared" si="3"/>
        <v>0</v>
      </c>
      <c r="E9" s="30">
        <f t="shared" si="4"/>
        <v>0</v>
      </c>
      <c r="F9" s="31">
        <f t="shared" si="5"/>
        <v>35</v>
      </c>
      <c r="G9" s="48">
        <f t="shared" si="6"/>
        <v>35</v>
      </c>
      <c r="H9" s="41">
        <f t="shared" si="7"/>
        <v>0</v>
      </c>
      <c r="I9" s="186"/>
      <c r="J9" s="32" t="s">
        <v>41</v>
      </c>
      <c r="K9" s="175">
        <v>0.5</v>
      </c>
      <c r="L9" s="176"/>
      <c r="M9" s="176"/>
      <c r="N9" s="177"/>
      <c r="AL9" s="17">
        <f t="shared" si="10"/>
        <v>8</v>
      </c>
      <c r="AM9" s="17">
        <f t="shared" si="9"/>
        <v>0</v>
      </c>
    </row>
    <row r="10" spans="1:39" x14ac:dyDescent="0.25">
      <c r="A10" s="28">
        <f t="shared" si="8"/>
        <v>56</v>
      </c>
      <c r="B10" s="29">
        <f t="shared" si="1"/>
        <v>34</v>
      </c>
      <c r="C10" s="30">
        <f t="shared" si="2"/>
        <v>0</v>
      </c>
      <c r="D10" s="30">
        <f t="shared" si="3"/>
        <v>0</v>
      </c>
      <c r="E10" s="30">
        <f t="shared" si="4"/>
        <v>0</v>
      </c>
      <c r="F10" s="31">
        <f t="shared" si="5"/>
        <v>34</v>
      </c>
      <c r="G10" s="48">
        <f t="shared" si="6"/>
        <v>34</v>
      </c>
      <c r="H10" s="41">
        <f t="shared" si="7"/>
        <v>0</v>
      </c>
      <c r="I10" s="166"/>
      <c r="J10" s="33" t="s">
        <v>42</v>
      </c>
      <c r="K10" s="175" t="s">
        <v>49</v>
      </c>
      <c r="L10" s="176"/>
      <c r="M10" s="176"/>
      <c r="N10" s="177"/>
      <c r="AL10" s="17">
        <f t="shared" si="10"/>
        <v>10</v>
      </c>
      <c r="AM10" s="17">
        <f t="shared" si="9"/>
        <v>0</v>
      </c>
    </row>
    <row r="11" spans="1:39" x14ac:dyDescent="0.25">
      <c r="A11" s="28">
        <f t="shared" si="8"/>
        <v>57</v>
      </c>
      <c r="B11" s="29">
        <f t="shared" si="1"/>
        <v>33</v>
      </c>
      <c r="C11" s="30">
        <f t="shared" si="2"/>
        <v>0</v>
      </c>
      <c r="D11" s="30">
        <f t="shared" si="3"/>
        <v>0</v>
      </c>
      <c r="E11" s="30">
        <f t="shared" si="4"/>
        <v>0</v>
      </c>
      <c r="F11" s="31">
        <f t="shared" si="5"/>
        <v>33</v>
      </c>
      <c r="G11" s="48">
        <f t="shared" si="6"/>
        <v>33</v>
      </c>
      <c r="H11" s="41">
        <f t="shared" si="7"/>
        <v>0</v>
      </c>
      <c r="I11" s="16" t="s">
        <v>43</v>
      </c>
      <c r="J11" s="26" t="s">
        <v>2</v>
      </c>
      <c r="K11" s="22">
        <f>(LN($K$2/K5)+(($K$6-$K$7+(0.5*$K$8*$K$8))*$K$9))/($K$8*SQRT($K$9))</f>
        <v>0.67345092923637306</v>
      </c>
      <c r="L11" s="22">
        <f>(LN($K$2/L5)+(($K$6-$K$7+(0.5*$K$8*$K$8))*$K$9))/($K$8*SQRT($K$9))</f>
        <v>0.17677669529663687</v>
      </c>
      <c r="M11" s="22">
        <f>(LN($K$2/M5)+(($K$6-$K$7+(0.5*$K$8*$K$8))*$K$9))/($K$8*SQRT($K$9))</f>
        <v>0.17677669529663687</v>
      </c>
      <c r="N11" s="22">
        <f>(LN($K$2/N5)+(($K$6-$K$7+(0.5*$K$8*$K$8))*$K$9))/($K$8*SQRT($K$9))</f>
        <v>-0.27251980107501156</v>
      </c>
      <c r="AL11" s="17">
        <f t="shared" si="10"/>
        <v>12</v>
      </c>
      <c r="AM11" s="17">
        <f t="shared" si="9"/>
        <v>24</v>
      </c>
    </row>
    <row r="12" spans="1:39" x14ac:dyDescent="0.25">
      <c r="A12" s="28">
        <f t="shared" si="8"/>
        <v>58</v>
      </c>
      <c r="B12" s="29">
        <f t="shared" si="1"/>
        <v>32</v>
      </c>
      <c r="C12" s="30">
        <f t="shared" si="2"/>
        <v>0</v>
      </c>
      <c r="D12" s="30">
        <f t="shared" si="3"/>
        <v>0</v>
      </c>
      <c r="E12" s="30">
        <f t="shared" si="4"/>
        <v>0</v>
      </c>
      <c r="F12" s="31">
        <f t="shared" si="5"/>
        <v>32</v>
      </c>
      <c r="G12" s="48">
        <f t="shared" si="6"/>
        <v>32</v>
      </c>
      <c r="H12" s="41">
        <f t="shared" si="7"/>
        <v>0</v>
      </c>
      <c r="I12" s="24"/>
      <c r="J12" s="29" t="s">
        <v>3</v>
      </c>
      <c r="K12" s="34">
        <f>K11-($K$8*SQRT($K$9))</f>
        <v>0.46131889488040878</v>
      </c>
      <c r="L12" s="34">
        <f>L11-($K$8*SQRT($K$9))</f>
        <v>-3.535533905932739E-2</v>
      </c>
      <c r="M12" s="34">
        <f>M11-($K$8*SQRT($K$9))</f>
        <v>-3.535533905932739E-2</v>
      </c>
      <c r="N12" s="34">
        <f>N11-($K$8*SQRT($K$9))</f>
        <v>-0.48465183543097579</v>
      </c>
      <c r="AL12" s="17">
        <f t="shared" si="10"/>
        <v>14</v>
      </c>
      <c r="AM12" s="17">
        <f t="shared" si="9"/>
        <v>76</v>
      </c>
    </row>
    <row r="13" spans="1:39" x14ac:dyDescent="0.25">
      <c r="A13" s="28">
        <f t="shared" si="8"/>
        <v>59</v>
      </c>
      <c r="B13" s="29">
        <f t="shared" si="1"/>
        <v>31</v>
      </c>
      <c r="C13" s="30">
        <f t="shared" si="2"/>
        <v>0</v>
      </c>
      <c r="D13" s="30">
        <f t="shared" si="3"/>
        <v>0</v>
      </c>
      <c r="E13" s="30">
        <f t="shared" si="4"/>
        <v>0</v>
      </c>
      <c r="F13" s="31">
        <f t="shared" si="5"/>
        <v>31</v>
      </c>
      <c r="G13" s="48">
        <f t="shared" si="6"/>
        <v>31</v>
      </c>
      <c r="H13" s="41">
        <f t="shared" si="7"/>
        <v>0</v>
      </c>
      <c r="I13" s="19"/>
      <c r="J13" s="35" t="s">
        <v>44</v>
      </c>
      <c r="K13" s="36">
        <f>IF(K3="C",($K$2*EXP(-$K$7*$K$9)*NORMSDIST(K11))-(K5*EXP(-$K$6*$K$9)*NORMSDIST(K12)),(-$K$2*EXP(-$K$7*$K$9)*NORMSDIST(-K11))-(-K5*EXP(-$K$6*$K$9)*NORMSDIST(-K12)))</f>
        <v>3.5055504026717905</v>
      </c>
      <c r="L13" s="36">
        <f>IF(L3="C",($K$2*EXP(-$K$7*$K$9)*NORMSDIST(L11))-(L5*EXP(-$K$6*$K$9)*NORMSDIST(L12)),(-$K$2*EXP(-$K$7*$K$9)*NORMSDIST(-L11))-(-L5*EXP(-$K$6*$K$9)*NORMSDIST(-L12)))</f>
        <v>7.5843683686332781</v>
      </c>
      <c r="M13" s="36">
        <f>IF(M3="C",($K$2*EXP(-$K$7*$K$9)*NORMSDIST(M11))-(M5*EXP(-$K$6*$K$9)*NORMSDIST(M12)),(-$K$2*EXP(-$K$7*$K$9)*NORMSDIST(-M11))-(-M5*EXP(-$K$6*$K$9)*NORMSDIST(-M12)))</f>
        <v>9.0583605407168193</v>
      </c>
      <c r="N13" s="36">
        <f>IF(N3="C",($K$2*EXP(-$K$7*$K$9)*NORMSDIST(N11))-(N5*EXP(-$K$6*$K$9)*NORMSDIST(N12)),(-$K$2*EXP(-$K$7*$K$9)*NORMSDIST(-N11))-(-N5*EXP(-$K$6*$K$9)*NORMSDIST(-N12)))</f>
        <v>5.1873717259117882</v>
      </c>
      <c r="AL13" s="17">
        <f t="shared" si="10"/>
        <v>16</v>
      </c>
      <c r="AM13" s="17">
        <f t="shared" si="9"/>
        <v>136</v>
      </c>
    </row>
    <row r="14" spans="1:39" x14ac:dyDescent="0.25">
      <c r="A14" s="28">
        <f t="shared" si="8"/>
        <v>60</v>
      </c>
      <c r="B14" s="29">
        <f t="shared" si="1"/>
        <v>30</v>
      </c>
      <c r="C14" s="30">
        <f t="shared" si="2"/>
        <v>0</v>
      </c>
      <c r="D14" s="30">
        <f t="shared" si="3"/>
        <v>0</v>
      </c>
      <c r="E14" s="30">
        <f t="shared" si="4"/>
        <v>0</v>
      </c>
      <c r="F14" s="31">
        <f t="shared" si="5"/>
        <v>30</v>
      </c>
      <c r="G14" s="48">
        <f t="shared" si="6"/>
        <v>30</v>
      </c>
      <c r="H14" s="41">
        <f t="shared" si="7"/>
        <v>0</v>
      </c>
      <c r="J14" s="21" t="s">
        <v>50</v>
      </c>
      <c r="K14" s="42">
        <f>SUMPRODUCT(K4:N4,K13:N13)</f>
        <v>8.6929221285835787</v>
      </c>
      <c r="AL14" s="17">
        <f t="shared" si="10"/>
        <v>18</v>
      </c>
      <c r="AM14" s="17">
        <f t="shared" si="9"/>
        <v>204</v>
      </c>
    </row>
    <row r="15" spans="1:39" x14ac:dyDescent="0.25">
      <c r="A15" s="28">
        <f t="shared" si="8"/>
        <v>61</v>
      </c>
      <c r="B15" s="29">
        <f t="shared" si="1"/>
        <v>29</v>
      </c>
      <c r="C15" s="30">
        <f t="shared" si="2"/>
        <v>0</v>
      </c>
      <c r="D15" s="30">
        <f t="shared" si="3"/>
        <v>0</v>
      </c>
      <c r="E15" s="30">
        <f t="shared" si="4"/>
        <v>0</v>
      </c>
      <c r="F15" s="31">
        <f t="shared" si="5"/>
        <v>29</v>
      </c>
      <c r="G15" s="48">
        <f t="shared" si="6"/>
        <v>29</v>
      </c>
      <c r="H15" s="41">
        <f t="shared" si="7"/>
        <v>0</v>
      </c>
      <c r="AL15" s="17">
        <f t="shared" si="10"/>
        <v>20</v>
      </c>
      <c r="AM15" s="17">
        <f t="shared" si="9"/>
        <v>280</v>
      </c>
    </row>
    <row r="16" spans="1:39" ht="13" thickBot="1" x14ac:dyDescent="0.3">
      <c r="A16" s="28">
        <f t="shared" si="8"/>
        <v>62</v>
      </c>
      <c r="B16" s="29">
        <f t="shared" si="1"/>
        <v>28</v>
      </c>
      <c r="C16" s="30">
        <f t="shared" si="2"/>
        <v>0</v>
      </c>
      <c r="D16" s="30">
        <f t="shared" si="3"/>
        <v>0</v>
      </c>
      <c r="E16" s="30">
        <f t="shared" si="4"/>
        <v>0</v>
      </c>
      <c r="F16" s="31">
        <f t="shared" si="5"/>
        <v>28</v>
      </c>
      <c r="G16" s="48">
        <f t="shared" si="6"/>
        <v>28</v>
      </c>
      <c r="H16" s="41">
        <f t="shared" si="7"/>
        <v>0</v>
      </c>
      <c r="AL16" s="17">
        <f t="shared" si="10"/>
        <v>22</v>
      </c>
      <c r="AM16" s="17">
        <f t="shared" si="9"/>
        <v>364</v>
      </c>
    </row>
    <row r="17" spans="1:39" ht="13" thickBot="1" x14ac:dyDescent="0.3">
      <c r="A17" s="28">
        <f t="shared" si="8"/>
        <v>63</v>
      </c>
      <c r="B17" s="29">
        <f t="shared" si="1"/>
        <v>27</v>
      </c>
      <c r="C17" s="30">
        <f t="shared" si="2"/>
        <v>0</v>
      </c>
      <c r="D17" s="30">
        <f t="shared" si="3"/>
        <v>0</v>
      </c>
      <c r="E17" s="30">
        <f t="shared" si="4"/>
        <v>0</v>
      </c>
      <c r="F17" s="31">
        <f t="shared" si="5"/>
        <v>27</v>
      </c>
      <c r="G17" s="48">
        <f t="shared" si="6"/>
        <v>27</v>
      </c>
      <c r="H17" s="41">
        <f t="shared" si="7"/>
        <v>0</v>
      </c>
      <c r="J17" s="179" t="s">
        <v>54</v>
      </c>
      <c r="K17" s="180"/>
      <c r="AL17" s="17">
        <f t="shared" si="10"/>
        <v>24</v>
      </c>
      <c r="AM17" s="17">
        <f t="shared" si="9"/>
        <v>456</v>
      </c>
    </row>
    <row r="18" spans="1:39" x14ac:dyDescent="0.25">
      <c r="A18" s="28">
        <f t="shared" si="8"/>
        <v>64</v>
      </c>
      <c r="B18" s="29">
        <f t="shared" si="1"/>
        <v>26</v>
      </c>
      <c r="C18" s="30">
        <f t="shared" si="2"/>
        <v>0</v>
      </c>
      <c r="D18" s="30">
        <f t="shared" si="3"/>
        <v>0</v>
      </c>
      <c r="E18" s="30">
        <f t="shared" si="4"/>
        <v>0</v>
      </c>
      <c r="F18" s="31">
        <f t="shared" si="5"/>
        <v>26</v>
      </c>
      <c r="G18" s="48">
        <f t="shared" si="6"/>
        <v>26</v>
      </c>
      <c r="H18" s="41">
        <f t="shared" si="7"/>
        <v>0</v>
      </c>
      <c r="J18" s="45" t="s">
        <v>52</v>
      </c>
      <c r="K18" s="43">
        <v>90</v>
      </c>
      <c r="AL18" s="17">
        <f t="shared" si="10"/>
        <v>26</v>
      </c>
      <c r="AM18" s="17">
        <f t="shared" si="9"/>
        <v>556</v>
      </c>
    </row>
    <row r="19" spans="1:39" x14ac:dyDescent="0.25">
      <c r="A19" s="28">
        <f t="shared" si="8"/>
        <v>65</v>
      </c>
      <c r="B19" s="29">
        <f t="shared" si="1"/>
        <v>25</v>
      </c>
      <c r="C19" s="30">
        <f t="shared" si="2"/>
        <v>0</v>
      </c>
      <c r="D19" s="30">
        <f t="shared" si="3"/>
        <v>0</v>
      </c>
      <c r="E19" s="30">
        <f t="shared" si="4"/>
        <v>0</v>
      </c>
      <c r="F19" s="31">
        <f t="shared" si="5"/>
        <v>25</v>
      </c>
      <c r="G19" s="48">
        <f t="shared" si="6"/>
        <v>25</v>
      </c>
      <c r="H19" s="41">
        <f t="shared" si="7"/>
        <v>0</v>
      </c>
      <c r="J19" s="44" t="s">
        <v>81</v>
      </c>
      <c r="K19" s="43">
        <v>110</v>
      </c>
      <c r="AL19" s="17">
        <f t="shared" si="10"/>
        <v>28</v>
      </c>
      <c r="AM19" s="17">
        <f t="shared" si="9"/>
        <v>664</v>
      </c>
    </row>
    <row r="20" spans="1:39" ht="13" x14ac:dyDescent="0.3">
      <c r="A20" s="28">
        <f t="shared" si="8"/>
        <v>66</v>
      </c>
      <c r="B20" s="29">
        <f t="shared" si="1"/>
        <v>24</v>
      </c>
      <c r="C20" s="30">
        <f t="shared" si="2"/>
        <v>0</v>
      </c>
      <c r="D20" s="30">
        <f t="shared" si="3"/>
        <v>0</v>
      </c>
      <c r="E20" s="30">
        <f t="shared" si="4"/>
        <v>0</v>
      </c>
      <c r="F20" s="31">
        <f t="shared" si="5"/>
        <v>24</v>
      </c>
      <c r="G20" s="48">
        <f t="shared" si="6"/>
        <v>24</v>
      </c>
      <c r="H20" s="41">
        <f t="shared" si="7"/>
        <v>0</v>
      </c>
      <c r="J20" s="44" t="s">
        <v>51</v>
      </c>
      <c r="K20" s="46">
        <f>K13+N13</f>
        <v>8.6929221285835787</v>
      </c>
      <c r="AL20" s="17">
        <f t="shared" si="10"/>
        <v>30</v>
      </c>
      <c r="AM20" s="17">
        <f t="shared" si="9"/>
        <v>780</v>
      </c>
    </row>
    <row r="21" spans="1:39" x14ac:dyDescent="0.25">
      <c r="A21" s="28">
        <f t="shared" si="8"/>
        <v>67</v>
      </c>
      <c r="B21" s="29">
        <f t="shared" si="1"/>
        <v>23</v>
      </c>
      <c r="C21" s="30">
        <f t="shared" si="2"/>
        <v>0</v>
      </c>
      <c r="D21" s="30">
        <f t="shared" si="3"/>
        <v>0</v>
      </c>
      <c r="E21" s="30">
        <f t="shared" si="4"/>
        <v>0</v>
      </c>
      <c r="F21" s="31">
        <f t="shared" si="5"/>
        <v>23</v>
      </c>
      <c r="G21" s="48">
        <f t="shared" si="6"/>
        <v>23</v>
      </c>
      <c r="H21" s="41">
        <f t="shared" si="7"/>
        <v>0</v>
      </c>
      <c r="AL21" s="17">
        <f t="shared" si="10"/>
        <v>32</v>
      </c>
      <c r="AM21" s="17">
        <f t="shared" si="9"/>
        <v>904</v>
      </c>
    </row>
    <row r="22" spans="1:39" x14ac:dyDescent="0.25">
      <c r="A22" s="28">
        <f t="shared" si="8"/>
        <v>68</v>
      </c>
      <c r="B22" s="29">
        <f t="shared" si="1"/>
        <v>22</v>
      </c>
      <c r="C22" s="30">
        <f t="shared" si="2"/>
        <v>0</v>
      </c>
      <c r="D22" s="30">
        <f t="shared" si="3"/>
        <v>0</v>
      </c>
      <c r="E22" s="30">
        <f t="shared" si="4"/>
        <v>0</v>
      </c>
      <c r="F22" s="31">
        <f t="shared" si="5"/>
        <v>22</v>
      </c>
      <c r="G22" s="48">
        <f t="shared" si="6"/>
        <v>22</v>
      </c>
      <c r="H22" s="41">
        <f t="shared" si="7"/>
        <v>0</v>
      </c>
      <c r="AL22" s="17">
        <f t="shared" si="10"/>
        <v>34</v>
      </c>
      <c r="AM22" s="17">
        <f t="shared" si="9"/>
        <v>1036</v>
      </c>
    </row>
    <row r="23" spans="1:39" x14ac:dyDescent="0.25">
      <c r="A23" s="28">
        <f t="shared" si="8"/>
        <v>69</v>
      </c>
      <c r="B23" s="29">
        <f t="shared" si="1"/>
        <v>21</v>
      </c>
      <c r="C23" s="30">
        <f t="shared" si="2"/>
        <v>0</v>
      </c>
      <c r="D23" s="30">
        <f t="shared" si="3"/>
        <v>0</v>
      </c>
      <c r="E23" s="30">
        <f t="shared" si="4"/>
        <v>0</v>
      </c>
      <c r="F23" s="31">
        <f t="shared" si="5"/>
        <v>21</v>
      </c>
      <c r="G23" s="48">
        <f t="shared" si="6"/>
        <v>21</v>
      </c>
      <c r="H23" s="41">
        <f t="shared" si="7"/>
        <v>0</v>
      </c>
      <c r="AL23" s="17">
        <f t="shared" si="10"/>
        <v>36</v>
      </c>
      <c r="AM23" s="17">
        <f t="shared" si="9"/>
        <v>1176</v>
      </c>
    </row>
    <row r="24" spans="1:39" x14ac:dyDescent="0.25">
      <c r="A24" s="28">
        <f t="shared" si="8"/>
        <v>70</v>
      </c>
      <c r="B24" s="29">
        <f t="shared" si="1"/>
        <v>20</v>
      </c>
      <c r="C24" s="30">
        <f t="shared" si="2"/>
        <v>0</v>
      </c>
      <c r="D24" s="30">
        <f t="shared" si="3"/>
        <v>0</v>
      </c>
      <c r="E24" s="30">
        <f t="shared" si="4"/>
        <v>0</v>
      </c>
      <c r="F24" s="31">
        <f t="shared" si="5"/>
        <v>20</v>
      </c>
      <c r="G24" s="48">
        <f t="shared" si="6"/>
        <v>20</v>
      </c>
      <c r="H24" s="41">
        <f t="shared" si="7"/>
        <v>0</v>
      </c>
      <c r="AL24" s="17">
        <f t="shared" si="10"/>
        <v>38</v>
      </c>
      <c r="AM24" s="17">
        <f t="shared" si="9"/>
        <v>1324</v>
      </c>
    </row>
    <row r="25" spans="1:39" x14ac:dyDescent="0.25">
      <c r="A25" s="28">
        <f t="shared" si="8"/>
        <v>71</v>
      </c>
      <c r="B25" s="29">
        <f t="shared" si="1"/>
        <v>19</v>
      </c>
      <c r="C25" s="30">
        <f t="shared" si="2"/>
        <v>0</v>
      </c>
      <c r="D25" s="30">
        <f t="shared" si="3"/>
        <v>0</v>
      </c>
      <c r="E25" s="30">
        <f t="shared" si="4"/>
        <v>0</v>
      </c>
      <c r="F25" s="31">
        <f t="shared" si="5"/>
        <v>19</v>
      </c>
      <c r="G25" s="48">
        <f t="shared" si="6"/>
        <v>19</v>
      </c>
      <c r="H25" s="41">
        <f t="shared" si="7"/>
        <v>0</v>
      </c>
      <c r="I25" s="37"/>
      <c r="AL25" s="17">
        <f t="shared" si="10"/>
        <v>40</v>
      </c>
      <c r="AM25" s="17">
        <f t="shared" si="9"/>
        <v>1480</v>
      </c>
    </row>
    <row r="26" spans="1:39" x14ac:dyDescent="0.25">
      <c r="A26" s="28">
        <f t="shared" si="8"/>
        <v>72</v>
      </c>
      <c r="B26" s="29">
        <f t="shared" si="1"/>
        <v>18</v>
      </c>
      <c r="C26" s="30">
        <f t="shared" si="2"/>
        <v>0</v>
      </c>
      <c r="D26" s="30">
        <f t="shared" si="3"/>
        <v>0</v>
      </c>
      <c r="E26" s="30">
        <f t="shared" si="4"/>
        <v>0</v>
      </c>
      <c r="F26" s="31">
        <f t="shared" si="5"/>
        <v>18</v>
      </c>
      <c r="G26" s="48">
        <f t="shared" si="6"/>
        <v>18</v>
      </c>
      <c r="H26" s="41">
        <f t="shared" si="7"/>
        <v>0</v>
      </c>
      <c r="AL26" s="17">
        <f t="shared" si="10"/>
        <v>42</v>
      </c>
      <c r="AM26" s="17">
        <f t="shared" si="9"/>
        <v>1644</v>
      </c>
    </row>
    <row r="27" spans="1:39" x14ac:dyDescent="0.25">
      <c r="A27" s="28">
        <f t="shared" si="8"/>
        <v>73</v>
      </c>
      <c r="B27" s="29">
        <f t="shared" si="1"/>
        <v>17</v>
      </c>
      <c r="C27" s="30">
        <f t="shared" si="2"/>
        <v>0</v>
      </c>
      <c r="D27" s="30">
        <f t="shared" si="3"/>
        <v>0</v>
      </c>
      <c r="E27" s="30">
        <f t="shared" si="4"/>
        <v>0</v>
      </c>
      <c r="F27" s="31">
        <f t="shared" si="5"/>
        <v>17</v>
      </c>
      <c r="G27" s="48">
        <f t="shared" si="6"/>
        <v>17</v>
      </c>
      <c r="H27" s="41">
        <f t="shared" si="7"/>
        <v>0</v>
      </c>
      <c r="AL27" s="17">
        <f t="shared" si="10"/>
        <v>44</v>
      </c>
      <c r="AM27" s="17">
        <f t="shared" si="9"/>
        <v>1816</v>
      </c>
    </row>
    <row r="28" spans="1:39" x14ac:dyDescent="0.25">
      <c r="A28" s="28">
        <f t="shared" si="8"/>
        <v>74</v>
      </c>
      <c r="B28" s="29">
        <f t="shared" si="1"/>
        <v>16</v>
      </c>
      <c r="C28" s="30">
        <f t="shared" si="2"/>
        <v>0</v>
      </c>
      <c r="D28" s="30">
        <f t="shared" si="3"/>
        <v>0</v>
      </c>
      <c r="E28" s="30">
        <f t="shared" si="4"/>
        <v>0</v>
      </c>
      <c r="F28" s="31">
        <f t="shared" si="5"/>
        <v>16</v>
      </c>
      <c r="G28" s="48">
        <f t="shared" si="6"/>
        <v>16</v>
      </c>
      <c r="H28" s="41">
        <f t="shared" si="7"/>
        <v>0</v>
      </c>
      <c r="AL28" s="17">
        <f t="shared" si="10"/>
        <v>46</v>
      </c>
      <c r="AM28" s="17">
        <f t="shared" si="9"/>
        <v>1996</v>
      </c>
    </row>
    <row r="29" spans="1:39" x14ac:dyDescent="0.25">
      <c r="A29" s="28">
        <f t="shared" si="8"/>
        <v>75</v>
      </c>
      <c r="B29" s="29">
        <f t="shared" si="1"/>
        <v>15</v>
      </c>
      <c r="C29" s="30">
        <f t="shared" si="2"/>
        <v>0</v>
      </c>
      <c r="D29" s="30">
        <f t="shared" si="3"/>
        <v>0</v>
      </c>
      <c r="E29" s="30">
        <f t="shared" si="4"/>
        <v>0</v>
      </c>
      <c r="F29" s="31">
        <f t="shared" si="5"/>
        <v>15</v>
      </c>
      <c r="G29" s="48">
        <f t="shared" si="6"/>
        <v>15</v>
      </c>
      <c r="H29" s="41">
        <f t="shared" si="7"/>
        <v>0</v>
      </c>
      <c r="AL29" s="17">
        <f t="shared" si="10"/>
        <v>48</v>
      </c>
      <c r="AM29" s="17">
        <f t="shared" si="9"/>
        <v>2184</v>
      </c>
    </row>
    <row r="30" spans="1:39" x14ac:dyDescent="0.25">
      <c r="A30" s="28">
        <f t="shared" si="8"/>
        <v>76</v>
      </c>
      <c r="B30" s="29">
        <f t="shared" si="1"/>
        <v>14</v>
      </c>
      <c r="C30" s="30">
        <f t="shared" si="2"/>
        <v>0</v>
      </c>
      <c r="D30" s="30">
        <f t="shared" si="3"/>
        <v>0</v>
      </c>
      <c r="E30" s="30">
        <f t="shared" si="4"/>
        <v>0</v>
      </c>
      <c r="F30" s="31">
        <f t="shared" si="5"/>
        <v>14</v>
      </c>
      <c r="G30" s="48">
        <f t="shared" si="6"/>
        <v>14</v>
      </c>
      <c r="H30" s="41">
        <f t="shared" si="7"/>
        <v>0</v>
      </c>
      <c r="AL30" s="17">
        <f t="shared" si="10"/>
        <v>50</v>
      </c>
      <c r="AM30" s="17">
        <f t="shared" si="9"/>
        <v>2380</v>
      </c>
    </row>
    <row r="31" spans="1:39" x14ac:dyDescent="0.25">
      <c r="A31" s="28">
        <f t="shared" si="8"/>
        <v>77</v>
      </c>
      <c r="B31" s="29">
        <f t="shared" si="1"/>
        <v>13</v>
      </c>
      <c r="C31" s="30">
        <f t="shared" si="2"/>
        <v>0</v>
      </c>
      <c r="D31" s="30">
        <f t="shared" si="3"/>
        <v>0</v>
      </c>
      <c r="E31" s="30">
        <f t="shared" si="4"/>
        <v>0</v>
      </c>
      <c r="F31" s="31">
        <f t="shared" si="5"/>
        <v>13</v>
      </c>
      <c r="G31" s="48">
        <f t="shared" si="6"/>
        <v>13</v>
      </c>
      <c r="H31" s="41">
        <f t="shared" si="7"/>
        <v>0</v>
      </c>
      <c r="AL31" s="17">
        <f t="shared" si="10"/>
        <v>52</v>
      </c>
      <c r="AM31" s="17">
        <f t="shared" si="9"/>
        <v>2584</v>
      </c>
    </row>
    <row r="32" spans="1:39" x14ac:dyDescent="0.25">
      <c r="A32" s="28">
        <f t="shared" si="8"/>
        <v>78</v>
      </c>
      <c r="B32" s="29">
        <f t="shared" si="1"/>
        <v>12</v>
      </c>
      <c r="C32" s="30">
        <f t="shared" si="2"/>
        <v>0</v>
      </c>
      <c r="D32" s="30">
        <f t="shared" si="3"/>
        <v>0</v>
      </c>
      <c r="E32" s="30">
        <f t="shared" si="4"/>
        <v>0</v>
      </c>
      <c r="F32" s="31">
        <f t="shared" si="5"/>
        <v>12</v>
      </c>
      <c r="G32" s="48">
        <f t="shared" si="6"/>
        <v>12</v>
      </c>
      <c r="H32" s="41">
        <f t="shared" si="7"/>
        <v>0</v>
      </c>
      <c r="AL32" s="17">
        <f t="shared" si="10"/>
        <v>54</v>
      </c>
      <c r="AM32" s="17">
        <f t="shared" si="9"/>
        <v>2796</v>
      </c>
    </row>
    <row r="33" spans="1:39" x14ac:dyDescent="0.25">
      <c r="A33" s="28">
        <f t="shared" si="8"/>
        <v>79</v>
      </c>
      <c r="B33" s="29">
        <f t="shared" si="1"/>
        <v>11</v>
      </c>
      <c r="C33" s="30">
        <f t="shared" si="2"/>
        <v>0</v>
      </c>
      <c r="D33" s="30">
        <f t="shared" si="3"/>
        <v>0</v>
      </c>
      <c r="E33" s="30">
        <f t="shared" si="4"/>
        <v>0</v>
      </c>
      <c r="F33" s="31">
        <f t="shared" si="5"/>
        <v>11</v>
      </c>
      <c r="G33" s="48">
        <f t="shared" si="6"/>
        <v>11</v>
      </c>
      <c r="H33" s="41">
        <f t="shared" si="7"/>
        <v>0</v>
      </c>
      <c r="AL33" s="17">
        <f t="shared" si="10"/>
        <v>56</v>
      </c>
      <c r="AM33" s="17">
        <f t="shared" si="9"/>
        <v>3016</v>
      </c>
    </row>
    <row r="34" spans="1:39" x14ac:dyDescent="0.25">
      <c r="A34" s="28">
        <f t="shared" si="8"/>
        <v>80</v>
      </c>
      <c r="B34" s="29">
        <f t="shared" si="1"/>
        <v>10</v>
      </c>
      <c r="C34" s="30">
        <f t="shared" si="2"/>
        <v>0</v>
      </c>
      <c r="D34" s="30">
        <f t="shared" si="3"/>
        <v>0</v>
      </c>
      <c r="E34" s="30">
        <f t="shared" si="4"/>
        <v>0</v>
      </c>
      <c r="F34" s="31">
        <f t="shared" si="5"/>
        <v>10</v>
      </c>
      <c r="G34" s="48">
        <f t="shared" si="6"/>
        <v>10</v>
      </c>
      <c r="H34" s="41">
        <f t="shared" si="7"/>
        <v>0</v>
      </c>
      <c r="AL34" s="17">
        <f t="shared" si="10"/>
        <v>58</v>
      </c>
      <c r="AM34" s="17">
        <f t="shared" si="9"/>
        <v>3244</v>
      </c>
    </row>
    <row r="35" spans="1:39" x14ac:dyDescent="0.25">
      <c r="A35" s="28">
        <f t="shared" si="8"/>
        <v>81</v>
      </c>
      <c r="B35" s="29">
        <f t="shared" si="1"/>
        <v>9</v>
      </c>
      <c r="C35" s="30">
        <f t="shared" si="2"/>
        <v>0</v>
      </c>
      <c r="D35" s="30">
        <f t="shared" si="3"/>
        <v>0</v>
      </c>
      <c r="E35" s="30">
        <f t="shared" si="4"/>
        <v>0</v>
      </c>
      <c r="F35" s="31">
        <f t="shared" si="5"/>
        <v>9</v>
      </c>
      <c r="G35" s="48">
        <f t="shared" si="6"/>
        <v>9</v>
      </c>
      <c r="H35" s="41">
        <f t="shared" si="7"/>
        <v>0</v>
      </c>
      <c r="AL35" s="17">
        <f t="shared" si="10"/>
        <v>60</v>
      </c>
      <c r="AM35" s="17">
        <f t="shared" si="9"/>
        <v>3480</v>
      </c>
    </row>
    <row r="36" spans="1:39" x14ac:dyDescent="0.25">
      <c r="A36" s="28">
        <f t="shared" si="8"/>
        <v>82</v>
      </c>
      <c r="B36" s="29">
        <f t="shared" si="1"/>
        <v>8</v>
      </c>
      <c r="C36" s="30">
        <f t="shared" si="2"/>
        <v>0</v>
      </c>
      <c r="D36" s="30">
        <f t="shared" si="3"/>
        <v>0</v>
      </c>
      <c r="E36" s="30">
        <f t="shared" si="4"/>
        <v>0</v>
      </c>
      <c r="F36" s="31">
        <f t="shared" si="5"/>
        <v>8</v>
      </c>
      <c r="G36" s="48">
        <f t="shared" si="6"/>
        <v>8</v>
      </c>
      <c r="H36" s="41">
        <f t="shared" si="7"/>
        <v>0</v>
      </c>
      <c r="AL36" s="17">
        <f t="shared" si="10"/>
        <v>62</v>
      </c>
      <c r="AM36" s="17">
        <f t="shared" si="9"/>
        <v>3724</v>
      </c>
    </row>
    <row r="37" spans="1:39" x14ac:dyDescent="0.25">
      <c r="A37" s="28">
        <f t="shared" si="8"/>
        <v>83</v>
      </c>
      <c r="B37" s="29">
        <f t="shared" si="1"/>
        <v>7</v>
      </c>
      <c r="C37" s="30">
        <f t="shared" si="2"/>
        <v>0</v>
      </c>
      <c r="D37" s="30">
        <f t="shared" si="3"/>
        <v>0</v>
      </c>
      <c r="E37" s="30">
        <f t="shared" si="4"/>
        <v>0</v>
      </c>
      <c r="F37" s="31">
        <f t="shared" si="5"/>
        <v>7</v>
      </c>
      <c r="G37" s="48">
        <f t="shared" si="6"/>
        <v>7</v>
      </c>
      <c r="H37" s="41">
        <f t="shared" si="7"/>
        <v>0</v>
      </c>
      <c r="AL37" s="17">
        <f t="shared" si="10"/>
        <v>64</v>
      </c>
      <c r="AM37" s="17">
        <f t="shared" si="9"/>
        <v>3976</v>
      </c>
    </row>
    <row r="38" spans="1:39" x14ac:dyDescent="0.25">
      <c r="A38" s="28">
        <f t="shared" si="8"/>
        <v>84</v>
      </c>
      <c r="B38" s="29">
        <f t="shared" si="1"/>
        <v>6</v>
      </c>
      <c r="C38" s="30">
        <f t="shared" si="2"/>
        <v>0</v>
      </c>
      <c r="D38" s="30">
        <f t="shared" si="3"/>
        <v>0</v>
      </c>
      <c r="E38" s="30">
        <f t="shared" si="4"/>
        <v>0</v>
      </c>
      <c r="F38" s="31">
        <f t="shared" si="5"/>
        <v>6</v>
      </c>
      <c r="G38" s="48">
        <f t="shared" si="6"/>
        <v>6</v>
      </c>
      <c r="H38" s="41">
        <f t="shared" si="7"/>
        <v>0</v>
      </c>
      <c r="AL38" s="17">
        <f t="shared" si="10"/>
        <v>66</v>
      </c>
      <c r="AM38" s="17">
        <f t="shared" si="9"/>
        <v>4236</v>
      </c>
    </row>
    <row r="39" spans="1:39" x14ac:dyDescent="0.25">
      <c r="A39" s="28">
        <f t="shared" si="8"/>
        <v>85</v>
      </c>
      <c r="B39" s="29">
        <f t="shared" si="1"/>
        <v>5</v>
      </c>
      <c r="C39" s="30">
        <f t="shared" si="2"/>
        <v>0</v>
      </c>
      <c r="D39" s="30">
        <f t="shared" si="3"/>
        <v>0</v>
      </c>
      <c r="E39" s="30">
        <f t="shared" si="4"/>
        <v>0</v>
      </c>
      <c r="F39" s="31">
        <f t="shared" si="5"/>
        <v>5</v>
      </c>
      <c r="G39" s="48">
        <f t="shared" si="6"/>
        <v>5</v>
      </c>
      <c r="H39" s="41">
        <f t="shared" si="7"/>
        <v>0</v>
      </c>
      <c r="AL39" s="17">
        <f t="shared" si="10"/>
        <v>68</v>
      </c>
      <c r="AM39" s="17">
        <f t="shared" si="9"/>
        <v>4504</v>
      </c>
    </row>
    <row r="40" spans="1:39" x14ac:dyDescent="0.25">
      <c r="A40" s="28">
        <f t="shared" si="8"/>
        <v>86</v>
      </c>
      <c r="B40" s="29">
        <f t="shared" si="1"/>
        <v>4</v>
      </c>
      <c r="C40" s="30">
        <f t="shared" si="2"/>
        <v>0</v>
      </c>
      <c r="D40" s="30">
        <f t="shared" si="3"/>
        <v>0</v>
      </c>
      <c r="E40" s="30">
        <f t="shared" si="4"/>
        <v>0</v>
      </c>
      <c r="F40" s="31">
        <f t="shared" si="5"/>
        <v>4</v>
      </c>
      <c r="G40" s="48">
        <f t="shared" si="6"/>
        <v>4</v>
      </c>
      <c r="H40" s="41">
        <f t="shared" si="7"/>
        <v>0</v>
      </c>
      <c r="AL40" s="17">
        <f t="shared" si="10"/>
        <v>70</v>
      </c>
      <c r="AM40" s="17">
        <f t="shared" si="9"/>
        <v>4780</v>
      </c>
    </row>
    <row r="41" spans="1:39" x14ac:dyDescent="0.25">
      <c r="A41" s="28">
        <f t="shared" si="8"/>
        <v>87</v>
      </c>
      <c r="B41" s="29">
        <f t="shared" si="1"/>
        <v>3</v>
      </c>
      <c r="C41" s="30">
        <f t="shared" si="2"/>
        <v>0</v>
      </c>
      <c r="D41" s="30">
        <f t="shared" si="3"/>
        <v>0</v>
      </c>
      <c r="E41" s="30">
        <f t="shared" si="4"/>
        <v>0</v>
      </c>
      <c r="F41" s="31">
        <f t="shared" si="5"/>
        <v>3</v>
      </c>
      <c r="G41" s="48">
        <f t="shared" si="6"/>
        <v>3</v>
      </c>
      <c r="H41" s="41">
        <f t="shared" si="7"/>
        <v>0</v>
      </c>
      <c r="AL41" s="17">
        <f t="shared" si="10"/>
        <v>72</v>
      </c>
      <c r="AM41" s="17">
        <f t="shared" si="9"/>
        <v>5064</v>
      </c>
    </row>
    <row r="42" spans="1:39" x14ac:dyDescent="0.25">
      <c r="A42" s="28">
        <f t="shared" si="8"/>
        <v>88</v>
      </c>
      <c r="B42" s="29">
        <f t="shared" si="1"/>
        <v>2</v>
      </c>
      <c r="C42" s="30">
        <f t="shared" si="2"/>
        <v>0</v>
      </c>
      <c r="D42" s="30">
        <f t="shared" si="3"/>
        <v>0</v>
      </c>
      <c r="E42" s="30">
        <f t="shared" si="4"/>
        <v>0</v>
      </c>
      <c r="F42" s="31">
        <f t="shared" si="5"/>
        <v>2</v>
      </c>
      <c r="G42" s="48">
        <f t="shared" si="6"/>
        <v>2</v>
      </c>
      <c r="H42" s="41">
        <f t="shared" si="7"/>
        <v>0</v>
      </c>
      <c r="AL42" s="17">
        <f t="shared" si="10"/>
        <v>74</v>
      </c>
      <c r="AM42" s="17">
        <f t="shared" si="9"/>
        <v>5356</v>
      </c>
    </row>
    <row r="43" spans="1:39" x14ac:dyDescent="0.25">
      <c r="A43" s="28">
        <f t="shared" si="8"/>
        <v>89</v>
      </c>
      <c r="B43" s="29">
        <f t="shared" si="1"/>
        <v>1</v>
      </c>
      <c r="C43" s="30">
        <f t="shared" si="2"/>
        <v>0</v>
      </c>
      <c r="D43" s="30">
        <f t="shared" si="3"/>
        <v>0</v>
      </c>
      <c r="E43" s="30">
        <f t="shared" si="4"/>
        <v>0</v>
      </c>
      <c r="F43" s="31">
        <f t="shared" si="5"/>
        <v>1</v>
      </c>
      <c r="G43" s="48">
        <f t="shared" si="6"/>
        <v>1</v>
      </c>
      <c r="H43" s="41">
        <f t="shared" si="7"/>
        <v>0</v>
      </c>
      <c r="AL43" s="17">
        <f t="shared" si="10"/>
        <v>76</v>
      </c>
      <c r="AM43" s="17">
        <f t="shared" si="9"/>
        <v>5656</v>
      </c>
    </row>
    <row r="44" spans="1:39" x14ac:dyDescent="0.25">
      <c r="A44" s="28">
        <f t="shared" si="8"/>
        <v>90</v>
      </c>
      <c r="B44" s="29">
        <f t="shared" si="1"/>
        <v>0</v>
      </c>
      <c r="C44" s="30">
        <f t="shared" si="2"/>
        <v>0</v>
      </c>
      <c r="D44" s="30">
        <f t="shared" si="3"/>
        <v>0</v>
      </c>
      <c r="E44" s="30">
        <f t="shared" si="4"/>
        <v>0</v>
      </c>
      <c r="F44" s="31">
        <f t="shared" si="5"/>
        <v>0</v>
      </c>
      <c r="G44" s="48">
        <f t="shared" si="6"/>
        <v>0</v>
      </c>
      <c r="H44" s="41">
        <f t="shared" si="7"/>
        <v>0</v>
      </c>
      <c r="AL44" s="17">
        <f t="shared" si="10"/>
        <v>78</v>
      </c>
      <c r="AM44" s="17">
        <f t="shared" si="9"/>
        <v>5964</v>
      </c>
    </row>
    <row r="45" spans="1:39" x14ac:dyDescent="0.25">
      <c r="A45" s="28">
        <f t="shared" si="8"/>
        <v>91</v>
      </c>
      <c r="B45" s="29">
        <f t="shared" si="1"/>
        <v>0</v>
      </c>
      <c r="C45" s="30">
        <f t="shared" si="2"/>
        <v>0</v>
      </c>
      <c r="D45" s="30">
        <f t="shared" si="3"/>
        <v>0</v>
      </c>
      <c r="E45" s="30">
        <f t="shared" si="4"/>
        <v>0</v>
      </c>
      <c r="F45" s="31">
        <f t="shared" si="5"/>
        <v>0</v>
      </c>
      <c r="G45" s="48">
        <f t="shared" si="6"/>
        <v>0</v>
      </c>
      <c r="H45" s="41">
        <f t="shared" si="7"/>
        <v>0</v>
      </c>
      <c r="AL45" s="17">
        <f t="shared" si="10"/>
        <v>80</v>
      </c>
      <c r="AM45" s="17">
        <f t="shared" si="9"/>
        <v>6280</v>
      </c>
    </row>
    <row r="46" spans="1:39" x14ac:dyDescent="0.25">
      <c r="A46" s="28">
        <f t="shared" si="8"/>
        <v>92</v>
      </c>
      <c r="B46" s="29">
        <f t="shared" si="1"/>
        <v>0</v>
      </c>
      <c r="C46" s="30">
        <f t="shared" si="2"/>
        <v>0</v>
      </c>
      <c r="D46" s="30">
        <f t="shared" si="3"/>
        <v>0</v>
      </c>
      <c r="E46" s="30">
        <f t="shared" si="4"/>
        <v>0</v>
      </c>
      <c r="F46" s="31">
        <f t="shared" si="5"/>
        <v>0</v>
      </c>
      <c r="G46" s="48">
        <f t="shared" si="6"/>
        <v>0</v>
      </c>
      <c r="H46" s="41">
        <f t="shared" si="7"/>
        <v>0</v>
      </c>
      <c r="AL46" s="17">
        <f t="shared" si="10"/>
        <v>82</v>
      </c>
      <c r="AM46" s="17">
        <f t="shared" si="9"/>
        <v>6604</v>
      </c>
    </row>
    <row r="47" spans="1:39" x14ac:dyDescent="0.25">
      <c r="A47" s="28">
        <f t="shared" si="8"/>
        <v>93</v>
      </c>
      <c r="B47" s="29">
        <f t="shared" si="1"/>
        <v>0</v>
      </c>
      <c r="C47" s="30">
        <f t="shared" si="2"/>
        <v>0</v>
      </c>
      <c r="D47" s="30">
        <f t="shared" si="3"/>
        <v>0</v>
      </c>
      <c r="E47" s="30">
        <f t="shared" si="4"/>
        <v>0</v>
      </c>
      <c r="F47" s="31">
        <f t="shared" si="5"/>
        <v>0</v>
      </c>
      <c r="G47" s="48">
        <f t="shared" si="6"/>
        <v>0</v>
      </c>
      <c r="H47" s="41">
        <f t="shared" si="7"/>
        <v>0</v>
      </c>
      <c r="AL47" s="17">
        <f t="shared" si="10"/>
        <v>84</v>
      </c>
      <c r="AM47" s="17">
        <f t="shared" si="9"/>
        <v>6936</v>
      </c>
    </row>
    <row r="48" spans="1:39" x14ac:dyDescent="0.25">
      <c r="A48" s="28">
        <f t="shared" si="8"/>
        <v>94</v>
      </c>
      <c r="B48" s="29">
        <f t="shared" si="1"/>
        <v>0</v>
      </c>
      <c r="C48" s="30">
        <f t="shared" si="2"/>
        <v>0</v>
      </c>
      <c r="D48" s="30">
        <f t="shared" si="3"/>
        <v>0</v>
      </c>
      <c r="E48" s="30">
        <f t="shared" si="4"/>
        <v>0</v>
      </c>
      <c r="F48" s="31">
        <f t="shared" si="5"/>
        <v>0</v>
      </c>
      <c r="G48" s="48">
        <f t="shared" si="6"/>
        <v>0</v>
      </c>
      <c r="H48" s="41">
        <f t="shared" si="7"/>
        <v>0</v>
      </c>
      <c r="AL48" s="17">
        <f t="shared" si="10"/>
        <v>86</v>
      </c>
      <c r="AM48" s="17">
        <f t="shared" si="9"/>
        <v>7276</v>
      </c>
    </row>
    <row r="49" spans="1:39" x14ac:dyDescent="0.25">
      <c r="A49" s="28">
        <f t="shared" si="8"/>
        <v>95</v>
      </c>
      <c r="B49" s="29">
        <f t="shared" si="1"/>
        <v>0</v>
      </c>
      <c r="C49" s="30">
        <f t="shared" si="2"/>
        <v>0</v>
      </c>
      <c r="D49" s="30">
        <f t="shared" si="3"/>
        <v>0</v>
      </c>
      <c r="E49" s="30">
        <f t="shared" si="4"/>
        <v>0</v>
      </c>
      <c r="F49" s="31">
        <f t="shared" si="5"/>
        <v>0</v>
      </c>
      <c r="G49" s="48">
        <f t="shared" si="6"/>
        <v>0</v>
      </c>
      <c r="H49" s="41">
        <f t="shared" si="7"/>
        <v>0</v>
      </c>
      <c r="AL49" s="17">
        <f t="shared" si="10"/>
        <v>88</v>
      </c>
      <c r="AM49" s="17">
        <f t="shared" si="9"/>
        <v>7624</v>
      </c>
    </row>
    <row r="50" spans="1:39" x14ac:dyDescent="0.25">
      <c r="A50" s="28">
        <f t="shared" si="8"/>
        <v>96</v>
      </c>
      <c r="B50" s="29">
        <f t="shared" si="1"/>
        <v>0</v>
      </c>
      <c r="C50" s="30">
        <f t="shared" si="2"/>
        <v>0</v>
      </c>
      <c r="D50" s="30">
        <f t="shared" si="3"/>
        <v>0</v>
      </c>
      <c r="E50" s="30">
        <f t="shared" si="4"/>
        <v>0</v>
      </c>
      <c r="F50" s="31">
        <f t="shared" si="5"/>
        <v>0</v>
      </c>
      <c r="G50" s="48">
        <f t="shared" si="6"/>
        <v>0</v>
      </c>
      <c r="H50" s="41">
        <f t="shared" si="7"/>
        <v>0</v>
      </c>
      <c r="AL50" s="17">
        <f t="shared" si="10"/>
        <v>90</v>
      </c>
      <c r="AM50" s="17">
        <f t="shared" si="9"/>
        <v>7980</v>
      </c>
    </row>
    <row r="51" spans="1:39" x14ac:dyDescent="0.25">
      <c r="A51" s="28">
        <f t="shared" si="8"/>
        <v>97</v>
      </c>
      <c r="B51" s="29">
        <f t="shared" si="1"/>
        <v>0</v>
      </c>
      <c r="C51" s="30">
        <f t="shared" si="2"/>
        <v>0</v>
      </c>
      <c r="D51" s="30">
        <f t="shared" si="3"/>
        <v>0</v>
      </c>
      <c r="E51" s="30">
        <f t="shared" si="4"/>
        <v>0</v>
      </c>
      <c r="F51" s="31">
        <f t="shared" si="5"/>
        <v>0</v>
      </c>
      <c r="G51" s="48">
        <f t="shared" si="6"/>
        <v>0</v>
      </c>
      <c r="H51" s="41">
        <f t="shared" si="7"/>
        <v>0</v>
      </c>
      <c r="AL51" s="17">
        <f t="shared" si="10"/>
        <v>92</v>
      </c>
      <c r="AM51" s="17">
        <f t="shared" si="9"/>
        <v>8344</v>
      </c>
    </row>
    <row r="52" spans="1:39" x14ac:dyDescent="0.25">
      <c r="A52" s="28">
        <f t="shared" si="8"/>
        <v>98</v>
      </c>
      <c r="B52" s="29">
        <f t="shared" si="1"/>
        <v>0</v>
      </c>
      <c r="C52" s="30">
        <f t="shared" si="2"/>
        <v>0</v>
      </c>
      <c r="D52" s="30">
        <f t="shared" si="3"/>
        <v>0</v>
      </c>
      <c r="E52" s="30">
        <f t="shared" si="4"/>
        <v>0</v>
      </c>
      <c r="F52" s="31">
        <f t="shared" si="5"/>
        <v>0</v>
      </c>
      <c r="G52" s="48">
        <f t="shared" si="6"/>
        <v>0</v>
      </c>
      <c r="H52" s="41">
        <f t="shared" si="7"/>
        <v>0</v>
      </c>
      <c r="AL52" s="17">
        <f t="shared" si="10"/>
        <v>94</v>
      </c>
      <c r="AM52" s="17">
        <f t="shared" si="9"/>
        <v>8716</v>
      </c>
    </row>
    <row r="53" spans="1:39" x14ac:dyDescent="0.25">
      <c r="A53" s="28">
        <f t="shared" si="8"/>
        <v>99</v>
      </c>
      <c r="B53" s="29">
        <f t="shared" si="1"/>
        <v>0</v>
      </c>
      <c r="C53" s="30">
        <f t="shared" si="2"/>
        <v>0</v>
      </c>
      <c r="D53" s="30">
        <f t="shared" si="3"/>
        <v>0</v>
      </c>
      <c r="E53" s="30">
        <f t="shared" si="4"/>
        <v>0</v>
      </c>
      <c r="F53" s="31">
        <f t="shared" si="5"/>
        <v>0</v>
      </c>
      <c r="G53" s="48">
        <f t="shared" si="6"/>
        <v>0</v>
      </c>
      <c r="H53" s="41">
        <f t="shared" si="7"/>
        <v>0</v>
      </c>
      <c r="AL53" s="17">
        <f t="shared" si="10"/>
        <v>96</v>
      </c>
      <c r="AM53" s="17">
        <f t="shared" si="9"/>
        <v>9096</v>
      </c>
    </row>
    <row r="54" spans="1:39" x14ac:dyDescent="0.25">
      <c r="A54" s="28">
        <f t="shared" si="8"/>
        <v>100</v>
      </c>
      <c r="B54" s="29">
        <f t="shared" si="1"/>
        <v>0</v>
      </c>
      <c r="C54" s="30">
        <f t="shared" si="2"/>
        <v>0</v>
      </c>
      <c r="D54" s="30">
        <f t="shared" si="3"/>
        <v>0</v>
      </c>
      <c r="E54" s="30">
        <f t="shared" si="4"/>
        <v>0</v>
      </c>
      <c r="F54" s="31">
        <f t="shared" si="5"/>
        <v>0</v>
      </c>
      <c r="G54" s="48">
        <f t="shared" si="6"/>
        <v>0</v>
      </c>
      <c r="H54" s="41">
        <f t="shared" si="7"/>
        <v>0</v>
      </c>
      <c r="AL54" s="17">
        <f t="shared" si="10"/>
        <v>98</v>
      </c>
      <c r="AM54" s="17">
        <f t="shared" si="9"/>
        <v>9484</v>
      </c>
    </row>
    <row r="55" spans="1:39" x14ac:dyDescent="0.25">
      <c r="A55" s="28">
        <f t="shared" si="8"/>
        <v>101</v>
      </c>
      <c r="B55" s="29">
        <f t="shared" si="1"/>
        <v>0</v>
      </c>
      <c r="C55" s="30">
        <f t="shared" si="2"/>
        <v>0</v>
      </c>
      <c r="D55" s="30">
        <f t="shared" si="3"/>
        <v>0</v>
      </c>
      <c r="E55" s="30">
        <f t="shared" si="4"/>
        <v>0</v>
      </c>
      <c r="F55" s="31">
        <f t="shared" si="5"/>
        <v>0</v>
      </c>
      <c r="G55" s="48">
        <f t="shared" si="6"/>
        <v>0</v>
      </c>
      <c r="H55" s="41">
        <f t="shared" si="7"/>
        <v>0</v>
      </c>
      <c r="AL55" s="17">
        <f t="shared" si="10"/>
        <v>100</v>
      </c>
      <c r="AM55" s="17">
        <f t="shared" si="9"/>
        <v>9880</v>
      </c>
    </row>
    <row r="56" spans="1:39" x14ac:dyDescent="0.25">
      <c r="A56" s="28">
        <f t="shared" si="8"/>
        <v>102</v>
      </c>
      <c r="B56" s="29">
        <f t="shared" si="1"/>
        <v>0</v>
      </c>
      <c r="C56" s="30">
        <f t="shared" si="2"/>
        <v>0</v>
      </c>
      <c r="D56" s="30">
        <f t="shared" si="3"/>
        <v>0</v>
      </c>
      <c r="E56" s="30">
        <f t="shared" si="4"/>
        <v>0</v>
      </c>
      <c r="F56" s="31">
        <f t="shared" si="5"/>
        <v>0</v>
      </c>
      <c r="G56" s="48">
        <f t="shared" si="6"/>
        <v>0</v>
      </c>
      <c r="H56" s="41">
        <f t="shared" si="7"/>
        <v>0</v>
      </c>
      <c r="AL56" s="17">
        <f t="shared" si="10"/>
        <v>102</v>
      </c>
      <c r="AM56" s="17">
        <f t="shared" si="9"/>
        <v>10284</v>
      </c>
    </row>
    <row r="57" spans="1:39" x14ac:dyDescent="0.25">
      <c r="A57" s="28">
        <f t="shared" si="8"/>
        <v>103</v>
      </c>
      <c r="B57" s="29">
        <f t="shared" si="1"/>
        <v>0</v>
      </c>
      <c r="C57" s="30">
        <f t="shared" si="2"/>
        <v>0</v>
      </c>
      <c r="D57" s="30">
        <f t="shared" si="3"/>
        <v>0</v>
      </c>
      <c r="E57" s="30">
        <f t="shared" si="4"/>
        <v>0</v>
      </c>
      <c r="F57" s="31">
        <f t="shared" si="5"/>
        <v>0</v>
      </c>
      <c r="G57" s="48">
        <f t="shared" si="6"/>
        <v>0</v>
      </c>
      <c r="H57" s="41">
        <f t="shared" si="7"/>
        <v>0</v>
      </c>
      <c r="AL57" s="17">
        <f t="shared" si="10"/>
        <v>104</v>
      </c>
      <c r="AM57" s="17">
        <f t="shared" si="9"/>
        <v>10696</v>
      </c>
    </row>
    <row r="58" spans="1:39" x14ac:dyDescent="0.25">
      <c r="A58" s="28">
        <f t="shared" si="8"/>
        <v>104</v>
      </c>
      <c r="B58" s="29">
        <f t="shared" si="1"/>
        <v>0</v>
      </c>
      <c r="C58" s="30">
        <f t="shared" si="2"/>
        <v>0</v>
      </c>
      <c r="D58" s="30">
        <f t="shared" si="3"/>
        <v>0</v>
      </c>
      <c r="E58" s="30">
        <f t="shared" si="4"/>
        <v>0</v>
      </c>
      <c r="F58" s="31">
        <f t="shared" si="5"/>
        <v>0</v>
      </c>
      <c r="G58" s="48">
        <f t="shared" si="6"/>
        <v>0</v>
      </c>
      <c r="H58" s="41">
        <f t="shared" si="7"/>
        <v>0</v>
      </c>
      <c r="AL58" s="17">
        <f t="shared" si="10"/>
        <v>106</v>
      </c>
      <c r="AM58" s="17">
        <f t="shared" si="9"/>
        <v>11116</v>
      </c>
    </row>
    <row r="59" spans="1:39" x14ac:dyDescent="0.25">
      <c r="A59" s="28">
        <f t="shared" si="8"/>
        <v>105</v>
      </c>
      <c r="B59" s="29">
        <f t="shared" si="1"/>
        <v>0</v>
      </c>
      <c r="C59" s="30">
        <f t="shared" si="2"/>
        <v>0</v>
      </c>
      <c r="D59" s="30">
        <f t="shared" si="3"/>
        <v>0</v>
      </c>
      <c r="E59" s="30">
        <f t="shared" si="4"/>
        <v>0</v>
      </c>
      <c r="F59" s="31">
        <f t="shared" si="5"/>
        <v>0</v>
      </c>
      <c r="G59" s="48">
        <f t="shared" si="6"/>
        <v>0</v>
      </c>
      <c r="H59" s="41">
        <f t="shared" si="7"/>
        <v>0</v>
      </c>
      <c r="AL59" s="17">
        <f t="shared" si="10"/>
        <v>108</v>
      </c>
      <c r="AM59" s="17">
        <f t="shared" si="9"/>
        <v>11544</v>
      </c>
    </row>
    <row r="60" spans="1:39" x14ac:dyDescent="0.25">
      <c r="A60" s="28">
        <f t="shared" si="8"/>
        <v>106</v>
      </c>
      <c r="B60" s="29">
        <f t="shared" si="1"/>
        <v>0</v>
      </c>
      <c r="C60" s="30">
        <f t="shared" si="2"/>
        <v>0</v>
      </c>
      <c r="D60" s="30">
        <f t="shared" si="3"/>
        <v>0</v>
      </c>
      <c r="E60" s="30">
        <f t="shared" si="4"/>
        <v>0</v>
      </c>
      <c r="F60" s="31">
        <f t="shared" si="5"/>
        <v>0</v>
      </c>
      <c r="G60" s="48">
        <f t="shared" si="6"/>
        <v>0</v>
      </c>
      <c r="H60" s="41">
        <f t="shared" si="7"/>
        <v>0</v>
      </c>
      <c r="AL60" s="17">
        <f t="shared" si="10"/>
        <v>110</v>
      </c>
      <c r="AM60" s="17">
        <f t="shared" si="9"/>
        <v>11980</v>
      </c>
    </row>
    <row r="61" spans="1:39" x14ac:dyDescent="0.25">
      <c r="A61" s="28">
        <f t="shared" si="8"/>
        <v>107</v>
      </c>
      <c r="B61" s="29">
        <f t="shared" si="1"/>
        <v>0</v>
      </c>
      <c r="C61" s="30">
        <f t="shared" si="2"/>
        <v>0</v>
      </c>
      <c r="D61" s="30">
        <f t="shared" si="3"/>
        <v>0</v>
      </c>
      <c r="E61" s="30">
        <f t="shared" si="4"/>
        <v>0</v>
      </c>
      <c r="F61" s="31">
        <f t="shared" si="5"/>
        <v>0</v>
      </c>
      <c r="G61" s="48">
        <f t="shared" si="6"/>
        <v>0</v>
      </c>
      <c r="H61" s="41">
        <f t="shared" si="7"/>
        <v>0</v>
      </c>
      <c r="AL61" s="17">
        <f t="shared" si="10"/>
        <v>112</v>
      </c>
      <c r="AM61" s="17">
        <f t="shared" si="9"/>
        <v>12424</v>
      </c>
    </row>
    <row r="62" spans="1:39" x14ac:dyDescent="0.25">
      <c r="A62" s="28">
        <f t="shared" si="8"/>
        <v>108</v>
      </c>
      <c r="B62" s="29">
        <f t="shared" si="1"/>
        <v>0</v>
      </c>
      <c r="C62" s="30">
        <f t="shared" si="2"/>
        <v>0</v>
      </c>
      <c r="D62" s="30">
        <f t="shared" si="3"/>
        <v>0</v>
      </c>
      <c r="E62" s="30">
        <f t="shared" si="4"/>
        <v>0</v>
      </c>
      <c r="F62" s="31">
        <f t="shared" si="5"/>
        <v>0</v>
      </c>
      <c r="G62" s="48">
        <f t="shared" si="6"/>
        <v>0</v>
      </c>
      <c r="H62" s="41">
        <f t="shared" si="7"/>
        <v>0</v>
      </c>
      <c r="AL62" s="17">
        <f t="shared" si="10"/>
        <v>114</v>
      </c>
      <c r="AM62" s="17">
        <f t="shared" si="9"/>
        <v>12876</v>
      </c>
    </row>
    <row r="63" spans="1:39" x14ac:dyDescent="0.25">
      <c r="A63" s="28">
        <f t="shared" si="8"/>
        <v>109</v>
      </c>
      <c r="B63" s="29">
        <f t="shared" si="1"/>
        <v>0</v>
      </c>
      <c r="C63" s="30">
        <f t="shared" si="2"/>
        <v>0</v>
      </c>
      <c r="D63" s="30">
        <f t="shared" si="3"/>
        <v>0</v>
      </c>
      <c r="E63" s="30">
        <f t="shared" si="4"/>
        <v>0</v>
      </c>
      <c r="F63" s="31">
        <f t="shared" si="5"/>
        <v>0</v>
      </c>
      <c r="G63" s="48">
        <f t="shared" si="6"/>
        <v>0</v>
      </c>
      <c r="H63" s="41">
        <f t="shared" si="7"/>
        <v>0</v>
      </c>
      <c r="AL63" s="17">
        <f t="shared" si="10"/>
        <v>116</v>
      </c>
      <c r="AM63" s="17">
        <f t="shared" si="9"/>
        <v>13336</v>
      </c>
    </row>
    <row r="64" spans="1:39" x14ac:dyDescent="0.25">
      <c r="A64" s="28">
        <f t="shared" si="8"/>
        <v>110</v>
      </c>
      <c r="B64" s="29">
        <f t="shared" si="1"/>
        <v>0</v>
      </c>
      <c r="C64" s="30">
        <f t="shared" si="2"/>
        <v>0</v>
      </c>
      <c r="D64" s="30">
        <f t="shared" si="3"/>
        <v>0</v>
      </c>
      <c r="E64" s="30">
        <f t="shared" si="4"/>
        <v>0</v>
      </c>
      <c r="F64" s="31">
        <f t="shared" si="5"/>
        <v>0</v>
      </c>
      <c r="G64" s="48">
        <f t="shared" si="6"/>
        <v>0</v>
      </c>
      <c r="H64" s="41">
        <f t="shared" si="7"/>
        <v>0</v>
      </c>
      <c r="AL64" s="17">
        <f t="shared" si="10"/>
        <v>118</v>
      </c>
      <c r="AM64" s="17">
        <f t="shared" si="9"/>
        <v>13804</v>
      </c>
    </row>
    <row r="65" spans="1:39" x14ac:dyDescent="0.25">
      <c r="A65" s="28">
        <f t="shared" si="8"/>
        <v>111</v>
      </c>
      <c r="B65" s="29">
        <f t="shared" si="1"/>
        <v>0</v>
      </c>
      <c r="C65" s="30">
        <f t="shared" si="2"/>
        <v>0</v>
      </c>
      <c r="D65" s="30">
        <f t="shared" si="3"/>
        <v>0</v>
      </c>
      <c r="E65" s="30">
        <f t="shared" si="4"/>
        <v>1</v>
      </c>
      <c r="F65" s="31">
        <f t="shared" si="5"/>
        <v>1</v>
      </c>
      <c r="G65" s="48">
        <f t="shared" si="6"/>
        <v>1</v>
      </c>
      <c r="H65" s="41">
        <f t="shared" si="7"/>
        <v>0</v>
      </c>
      <c r="AL65" s="17">
        <f t="shared" si="10"/>
        <v>120</v>
      </c>
      <c r="AM65" s="17">
        <f t="shared" si="9"/>
        <v>14280</v>
      </c>
    </row>
    <row r="66" spans="1:39" x14ac:dyDescent="0.25">
      <c r="A66" s="28">
        <f t="shared" si="8"/>
        <v>112</v>
      </c>
      <c r="B66" s="29">
        <f t="shared" si="1"/>
        <v>0</v>
      </c>
      <c r="C66" s="30">
        <f t="shared" si="2"/>
        <v>0</v>
      </c>
      <c r="D66" s="30">
        <f t="shared" si="3"/>
        <v>0</v>
      </c>
      <c r="E66" s="30">
        <f t="shared" si="4"/>
        <v>2</v>
      </c>
      <c r="F66" s="31">
        <f t="shared" si="5"/>
        <v>2</v>
      </c>
      <c r="G66" s="48">
        <f t="shared" si="6"/>
        <v>2</v>
      </c>
      <c r="H66" s="41">
        <f t="shared" si="7"/>
        <v>0</v>
      </c>
      <c r="AL66" s="17">
        <f t="shared" si="10"/>
        <v>122</v>
      </c>
      <c r="AM66" s="17">
        <f t="shared" si="9"/>
        <v>14764</v>
      </c>
    </row>
    <row r="67" spans="1:39" x14ac:dyDescent="0.25">
      <c r="A67" s="28">
        <f t="shared" si="8"/>
        <v>113</v>
      </c>
      <c r="B67" s="29">
        <f t="shared" si="1"/>
        <v>0</v>
      </c>
      <c r="C67" s="30">
        <f t="shared" si="2"/>
        <v>0</v>
      </c>
      <c r="D67" s="30">
        <f t="shared" si="3"/>
        <v>0</v>
      </c>
      <c r="E67" s="30">
        <f t="shared" si="4"/>
        <v>3</v>
      </c>
      <c r="F67" s="31">
        <f t="shared" si="5"/>
        <v>3</v>
      </c>
      <c r="G67" s="48">
        <f t="shared" si="6"/>
        <v>3</v>
      </c>
      <c r="H67" s="41">
        <f t="shared" si="7"/>
        <v>0</v>
      </c>
      <c r="AL67" s="17">
        <f t="shared" si="10"/>
        <v>124</v>
      </c>
      <c r="AM67" s="17">
        <f t="shared" si="9"/>
        <v>15256</v>
      </c>
    </row>
    <row r="68" spans="1:39" x14ac:dyDescent="0.25">
      <c r="A68" s="28">
        <f t="shared" si="8"/>
        <v>114</v>
      </c>
      <c r="B68" s="29">
        <f t="shared" si="1"/>
        <v>0</v>
      </c>
      <c r="C68" s="30">
        <f t="shared" si="2"/>
        <v>0</v>
      </c>
      <c r="D68" s="30">
        <f t="shared" si="3"/>
        <v>0</v>
      </c>
      <c r="E68" s="30">
        <f t="shared" si="4"/>
        <v>4</v>
      </c>
      <c r="F68" s="31">
        <f t="shared" si="5"/>
        <v>4</v>
      </c>
      <c r="G68" s="48">
        <f t="shared" si="6"/>
        <v>4</v>
      </c>
      <c r="H68" s="41">
        <f t="shared" si="7"/>
        <v>0</v>
      </c>
      <c r="AL68" s="17">
        <f t="shared" si="10"/>
        <v>126</v>
      </c>
      <c r="AM68" s="17">
        <f t="shared" si="9"/>
        <v>15756</v>
      </c>
    </row>
    <row r="69" spans="1:39" x14ac:dyDescent="0.25">
      <c r="A69" s="28">
        <f t="shared" si="8"/>
        <v>115</v>
      </c>
      <c r="B69" s="29">
        <f t="shared" ref="B69:B104" si="11">(MAX(IF($B$1="C",1,-1)*(A69-$K$5),0)-IF($K$10="Y",$K$13*EXP($K$6*$K$9),0))*$K$4</f>
        <v>0</v>
      </c>
      <c r="C69" s="30">
        <f t="shared" ref="C69:C104" si="12">(MAX(IF($C$1="C",1,-1)*(A69-$L$5),0)-IF($K$10="Y",$L$13*EXP($K$6*$K$9),0))*$L$4</f>
        <v>0</v>
      </c>
      <c r="D69" s="30">
        <f t="shared" ref="D69:D104" si="13">(MAX(IF($D$1="C",1,-1)*(A69-$M$5),0)-IF($K$10="Y",$M$13*EXP($K$6*$K$9),0))*$M$4</f>
        <v>0</v>
      </c>
      <c r="E69" s="30">
        <f t="shared" ref="E69:E104" si="14">(MAX(IF($E$1="C",1,-1)*(A69-$N$5),0)-IF($K$10="Y",$N$13*EXP($K$6*$K$9),0))*$N$4</f>
        <v>5</v>
      </c>
      <c r="F69" s="31">
        <f t="shared" ref="F69:F104" si="15">SUM(B69:E69)</f>
        <v>5</v>
      </c>
      <c r="G69" s="48">
        <f t="shared" ref="G69:G104" si="16">IF(A69&lt;=$K$18,$K$18-A69,IF(A69&gt;$K$19,A69-$K$19,0))</f>
        <v>5</v>
      </c>
      <c r="H69" s="41">
        <f t="shared" ref="H69:H104" si="17">F69-G69</f>
        <v>0</v>
      </c>
      <c r="AL69" s="17">
        <f t="shared" si="10"/>
        <v>128</v>
      </c>
      <c r="AM69" s="17">
        <f t="shared" si="9"/>
        <v>16264</v>
      </c>
    </row>
    <row r="70" spans="1:39" x14ac:dyDescent="0.25">
      <c r="A70" s="28">
        <f t="shared" ref="A70:A104" si="18">A69+1</f>
        <v>116</v>
      </c>
      <c r="B70" s="29">
        <f t="shared" si="11"/>
        <v>0</v>
      </c>
      <c r="C70" s="30">
        <f t="shared" si="12"/>
        <v>0</v>
      </c>
      <c r="D70" s="30">
        <f t="shared" si="13"/>
        <v>0</v>
      </c>
      <c r="E70" s="30">
        <f t="shared" si="14"/>
        <v>6</v>
      </c>
      <c r="F70" s="31">
        <f t="shared" si="15"/>
        <v>6</v>
      </c>
      <c r="G70" s="48">
        <f t="shared" si="16"/>
        <v>6</v>
      </c>
      <c r="H70" s="41">
        <f t="shared" si="17"/>
        <v>0</v>
      </c>
      <c r="AL70" s="17">
        <f t="shared" si="10"/>
        <v>130</v>
      </c>
      <c r="AM70" s="17">
        <f t="shared" ref="AM70:AM128" si="19">MAX(0,(AL70^2)-120)</f>
        <v>16780</v>
      </c>
    </row>
    <row r="71" spans="1:39" x14ac:dyDescent="0.25">
      <c r="A71" s="28">
        <f t="shared" si="18"/>
        <v>117</v>
      </c>
      <c r="B71" s="29">
        <f t="shared" si="11"/>
        <v>0</v>
      </c>
      <c r="C71" s="30">
        <f t="shared" si="12"/>
        <v>0</v>
      </c>
      <c r="D71" s="30">
        <f t="shared" si="13"/>
        <v>0</v>
      </c>
      <c r="E71" s="30">
        <f t="shared" si="14"/>
        <v>7</v>
      </c>
      <c r="F71" s="31">
        <f t="shared" si="15"/>
        <v>7</v>
      </c>
      <c r="G71" s="48">
        <f t="shared" si="16"/>
        <v>7</v>
      </c>
      <c r="H71" s="41">
        <f t="shared" si="17"/>
        <v>0</v>
      </c>
      <c r="AL71" s="17">
        <f t="shared" ref="AL71:AL128" si="20">AL70+2</f>
        <v>132</v>
      </c>
      <c r="AM71" s="17">
        <f t="shared" si="19"/>
        <v>17304</v>
      </c>
    </row>
    <row r="72" spans="1:39" x14ac:dyDescent="0.25">
      <c r="A72" s="28">
        <f t="shared" si="18"/>
        <v>118</v>
      </c>
      <c r="B72" s="29">
        <f t="shared" si="11"/>
        <v>0</v>
      </c>
      <c r="C72" s="30">
        <f t="shared" si="12"/>
        <v>0</v>
      </c>
      <c r="D72" s="30">
        <f t="shared" si="13"/>
        <v>0</v>
      </c>
      <c r="E72" s="30">
        <f t="shared" si="14"/>
        <v>8</v>
      </c>
      <c r="F72" s="31">
        <f t="shared" si="15"/>
        <v>8</v>
      </c>
      <c r="G72" s="48">
        <f t="shared" si="16"/>
        <v>8</v>
      </c>
      <c r="H72" s="41">
        <f t="shared" si="17"/>
        <v>0</v>
      </c>
      <c r="AL72" s="17">
        <f t="shared" si="20"/>
        <v>134</v>
      </c>
      <c r="AM72" s="17">
        <f t="shared" si="19"/>
        <v>17836</v>
      </c>
    </row>
    <row r="73" spans="1:39" x14ac:dyDescent="0.25">
      <c r="A73" s="28">
        <f t="shared" si="18"/>
        <v>119</v>
      </c>
      <c r="B73" s="29">
        <f t="shared" si="11"/>
        <v>0</v>
      </c>
      <c r="C73" s="30">
        <f t="shared" si="12"/>
        <v>0</v>
      </c>
      <c r="D73" s="30">
        <f t="shared" si="13"/>
        <v>0</v>
      </c>
      <c r="E73" s="30">
        <f t="shared" si="14"/>
        <v>9</v>
      </c>
      <c r="F73" s="31">
        <f t="shared" si="15"/>
        <v>9</v>
      </c>
      <c r="G73" s="48">
        <f t="shared" si="16"/>
        <v>9</v>
      </c>
      <c r="H73" s="41">
        <f t="shared" si="17"/>
        <v>0</v>
      </c>
      <c r="AL73" s="17">
        <f t="shared" si="20"/>
        <v>136</v>
      </c>
      <c r="AM73" s="17">
        <f t="shared" si="19"/>
        <v>18376</v>
      </c>
    </row>
    <row r="74" spans="1:39" x14ac:dyDescent="0.25">
      <c r="A74" s="28">
        <f t="shared" si="18"/>
        <v>120</v>
      </c>
      <c r="B74" s="29">
        <f t="shared" si="11"/>
        <v>0</v>
      </c>
      <c r="C74" s="30">
        <f t="shared" si="12"/>
        <v>0</v>
      </c>
      <c r="D74" s="30">
        <f t="shared" si="13"/>
        <v>0</v>
      </c>
      <c r="E74" s="30">
        <f t="shared" si="14"/>
        <v>10</v>
      </c>
      <c r="F74" s="31">
        <f t="shared" si="15"/>
        <v>10</v>
      </c>
      <c r="G74" s="48">
        <f t="shared" si="16"/>
        <v>10</v>
      </c>
      <c r="H74" s="41">
        <f t="shared" si="17"/>
        <v>0</v>
      </c>
      <c r="AL74" s="17">
        <f t="shared" si="20"/>
        <v>138</v>
      </c>
      <c r="AM74" s="17">
        <f t="shared" si="19"/>
        <v>18924</v>
      </c>
    </row>
    <row r="75" spans="1:39" x14ac:dyDescent="0.25">
      <c r="A75" s="28">
        <f t="shared" si="18"/>
        <v>121</v>
      </c>
      <c r="B75" s="29">
        <f t="shared" si="11"/>
        <v>0</v>
      </c>
      <c r="C75" s="30">
        <f t="shared" si="12"/>
        <v>0</v>
      </c>
      <c r="D75" s="30">
        <f t="shared" si="13"/>
        <v>0</v>
      </c>
      <c r="E75" s="30">
        <f t="shared" si="14"/>
        <v>11</v>
      </c>
      <c r="F75" s="31">
        <f t="shared" si="15"/>
        <v>11</v>
      </c>
      <c r="G75" s="48">
        <f t="shared" si="16"/>
        <v>11</v>
      </c>
      <c r="H75" s="41">
        <f t="shared" si="17"/>
        <v>0</v>
      </c>
      <c r="AL75" s="17">
        <f t="shared" si="20"/>
        <v>140</v>
      </c>
      <c r="AM75" s="17">
        <f t="shared" si="19"/>
        <v>19480</v>
      </c>
    </row>
    <row r="76" spans="1:39" x14ac:dyDescent="0.25">
      <c r="A76" s="28">
        <f t="shared" si="18"/>
        <v>122</v>
      </c>
      <c r="B76" s="29">
        <f t="shared" si="11"/>
        <v>0</v>
      </c>
      <c r="C76" s="30">
        <f t="shared" si="12"/>
        <v>0</v>
      </c>
      <c r="D76" s="30">
        <f t="shared" si="13"/>
        <v>0</v>
      </c>
      <c r="E76" s="30">
        <f t="shared" si="14"/>
        <v>12</v>
      </c>
      <c r="F76" s="31">
        <f t="shared" si="15"/>
        <v>12</v>
      </c>
      <c r="G76" s="48">
        <f t="shared" si="16"/>
        <v>12</v>
      </c>
      <c r="H76" s="41">
        <f t="shared" si="17"/>
        <v>0</v>
      </c>
      <c r="AL76" s="17">
        <f t="shared" si="20"/>
        <v>142</v>
      </c>
      <c r="AM76" s="17">
        <f t="shared" si="19"/>
        <v>20044</v>
      </c>
    </row>
    <row r="77" spans="1:39" x14ac:dyDescent="0.25">
      <c r="A77" s="28">
        <f t="shared" si="18"/>
        <v>123</v>
      </c>
      <c r="B77" s="29">
        <f t="shared" si="11"/>
        <v>0</v>
      </c>
      <c r="C77" s="30">
        <f t="shared" si="12"/>
        <v>0</v>
      </c>
      <c r="D77" s="30">
        <f t="shared" si="13"/>
        <v>0</v>
      </c>
      <c r="E77" s="30">
        <f t="shared" si="14"/>
        <v>13</v>
      </c>
      <c r="F77" s="31">
        <f t="shared" si="15"/>
        <v>13</v>
      </c>
      <c r="G77" s="48">
        <f t="shared" si="16"/>
        <v>13</v>
      </c>
      <c r="H77" s="41">
        <f t="shared" si="17"/>
        <v>0</v>
      </c>
      <c r="AL77" s="17">
        <f t="shared" si="20"/>
        <v>144</v>
      </c>
      <c r="AM77" s="17">
        <f t="shared" si="19"/>
        <v>20616</v>
      </c>
    </row>
    <row r="78" spans="1:39" x14ac:dyDescent="0.25">
      <c r="A78" s="28">
        <f t="shared" si="18"/>
        <v>124</v>
      </c>
      <c r="B78" s="29">
        <f t="shared" si="11"/>
        <v>0</v>
      </c>
      <c r="C78" s="30">
        <f t="shared" si="12"/>
        <v>0</v>
      </c>
      <c r="D78" s="30">
        <f t="shared" si="13"/>
        <v>0</v>
      </c>
      <c r="E78" s="30">
        <f t="shared" si="14"/>
        <v>14</v>
      </c>
      <c r="F78" s="31">
        <f t="shared" si="15"/>
        <v>14</v>
      </c>
      <c r="G78" s="48">
        <f t="shared" si="16"/>
        <v>14</v>
      </c>
      <c r="H78" s="41">
        <f t="shared" si="17"/>
        <v>0</v>
      </c>
      <c r="AL78" s="17">
        <f t="shared" si="20"/>
        <v>146</v>
      </c>
      <c r="AM78" s="17">
        <f t="shared" si="19"/>
        <v>21196</v>
      </c>
    </row>
    <row r="79" spans="1:39" x14ac:dyDescent="0.25">
      <c r="A79" s="28">
        <f t="shared" si="18"/>
        <v>125</v>
      </c>
      <c r="B79" s="29">
        <f t="shared" si="11"/>
        <v>0</v>
      </c>
      <c r="C79" s="30">
        <f t="shared" si="12"/>
        <v>0</v>
      </c>
      <c r="D79" s="30">
        <f t="shared" si="13"/>
        <v>0</v>
      </c>
      <c r="E79" s="30">
        <f t="shared" si="14"/>
        <v>15</v>
      </c>
      <c r="F79" s="31">
        <f t="shared" si="15"/>
        <v>15</v>
      </c>
      <c r="G79" s="48">
        <f t="shared" si="16"/>
        <v>15</v>
      </c>
      <c r="H79" s="41">
        <f t="shared" si="17"/>
        <v>0</v>
      </c>
      <c r="AL79" s="17">
        <f t="shared" si="20"/>
        <v>148</v>
      </c>
      <c r="AM79" s="17">
        <f t="shared" si="19"/>
        <v>21784</v>
      </c>
    </row>
    <row r="80" spans="1:39" x14ac:dyDescent="0.25">
      <c r="A80" s="28">
        <f t="shared" si="18"/>
        <v>126</v>
      </c>
      <c r="B80" s="29">
        <f t="shared" si="11"/>
        <v>0</v>
      </c>
      <c r="C80" s="30">
        <f t="shared" si="12"/>
        <v>0</v>
      </c>
      <c r="D80" s="30">
        <f t="shared" si="13"/>
        <v>0</v>
      </c>
      <c r="E80" s="30">
        <f t="shared" si="14"/>
        <v>16</v>
      </c>
      <c r="F80" s="31">
        <f t="shared" si="15"/>
        <v>16</v>
      </c>
      <c r="G80" s="48">
        <f t="shared" si="16"/>
        <v>16</v>
      </c>
      <c r="H80" s="41">
        <f t="shared" si="17"/>
        <v>0</v>
      </c>
      <c r="AL80" s="17">
        <f t="shared" si="20"/>
        <v>150</v>
      </c>
      <c r="AM80" s="17">
        <f t="shared" si="19"/>
        <v>22380</v>
      </c>
    </row>
    <row r="81" spans="1:39" x14ac:dyDescent="0.25">
      <c r="A81" s="28">
        <f t="shared" si="18"/>
        <v>127</v>
      </c>
      <c r="B81" s="29">
        <f t="shared" si="11"/>
        <v>0</v>
      </c>
      <c r="C81" s="30">
        <f t="shared" si="12"/>
        <v>0</v>
      </c>
      <c r="D81" s="30">
        <f t="shared" si="13"/>
        <v>0</v>
      </c>
      <c r="E81" s="30">
        <f t="shared" si="14"/>
        <v>17</v>
      </c>
      <c r="F81" s="31">
        <f t="shared" si="15"/>
        <v>17</v>
      </c>
      <c r="G81" s="48">
        <f t="shared" si="16"/>
        <v>17</v>
      </c>
      <c r="H81" s="41">
        <f t="shared" si="17"/>
        <v>0</v>
      </c>
      <c r="AL81" s="17">
        <f t="shared" si="20"/>
        <v>152</v>
      </c>
      <c r="AM81" s="17">
        <f t="shared" si="19"/>
        <v>22984</v>
      </c>
    </row>
    <row r="82" spans="1:39" x14ac:dyDescent="0.25">
      <c r="A82" s="28">
        <f t="shared" si="18"/>
        <v>128</v>
      </c>
      <c r="B82" s="29">
        <f t="shared" si="11"/>
        <v>0</v>
      </c>
      <c r="C82" s="30">
        <f t="shared" si="12"/>
        <v>0</v>
      </c>
      <c r="D82" s="30">
        <f t="shared" si="13"/>
        <v>0</v>
      </c>
      <c r="E82" s="30">
        <f t="shared" si="14"/>
        <v>18</v>
      </c>
      <c r="F82" s="31">
        <f t="shared" si="15"/>
        <v>18</v>
      </c>
      <c r="G82" s="48">
        <f t="shared" si="16"/>
        <v>18</v>
      </c>
      <c r="H82" s="41">
        <f t="shared" si="17"/>
        <v>0</v>
      </c>
      <c r="AL82" s="17">
        <f t="shared" si="20"/>
        <v>154</v>
      </c>
      <c r="AM82" s="17">
        <f t="shared" si="19"/>
        <v>23596</v>
      </c>
    </row>
    <row r="83" spans="1:39" x14ac:dyDescent="0.25">
      <c r="A83" s="28">
        <f t="shared" si="18"/>
        <v>129</v>
      </c>
      <c r="B83" s="29">
        <f t="shared" si="11"/>
        <v>0</v>
      </c>
      <c r="C83" s="30">
        <f t="shared" si="12"/>
        <v>0</v>
      </c>
      <c r="D83" s="30">
        <f t="shared" si="13"/>
        <v>0</v>
      </c>
      <c r="E83" s="30">
        <f t="shared" si="14"/>
        <v>19</v>
      </c>
      <c r="F83" s="31">
        <f t="shared" si="15"/>
        <v>19</v>
      </c>
      <c r="G83" s="48">
        <f t="shared" si="16"/>
        <v>19</v>
      </c>
      <c r="H83" s="41">
        <f t="shared" si="17"/>
        <v>0</v>
      </c>
      <c r="AL83" s="17">
        <f t="shared" si="20"/>
        <v>156</v>
      </c>
      <c r="AM83" s="17">
        <f t="shared" si="19"/>
        <v>24216</v>
      </c>
    </row>
    <row r="84" spans="1:39" x14ac:dyDescent="0.25">
      <c r="A84" s="28">
        <f t="shared" si="18"/>
        <v>130</v>
      </c>
      <c r="B84" s="29">
        <f t="shared" si="11"/>
        <v>0</v>
      </c>
      <c r="C84" s="30">
        <f t="shared" si="12"/>
        <v>0</v>
      </c>
      <c r="D84" s="30">
        <f t="shared" si="13"/>
        <v>0</v>
      </c>
      <c r="E84" s="30">
        <f t="shared" si="14"/>
        <v>20</v>
      </c>
      <c r="F84" s="31">
        <f t="shared" si="15"/>
        <v>20</v>
      </c>
      <c r="G84" s="48">
        <f t="shared" si="16"/>
        <v>20</v>
      </c>
      <c r="H84" s="41">
        <f t="shared" si="17"/>
        <v>0</v>
      </c>
      <c r="AL84" s="17">
        <f t="shared" si="20"/>
        <v>158</v>
      </c>
      <c r="AM84" s="17">
        <f t="shared" si="19"/>
        <v>24844</v>
      </c>
    </row>
    <row r="85" spans="1:39" x14ac:dyDescent="0.25">
      <c r="A85" s="28">
        <f t="shared" si="18"/>
        <v>131</v>
      </c>
      <c r="B85" s="29">
        <f t="shared" si="11"/>
        <v>0</v>
      </c>
      <c r="C85" s="30">
        <f t="shared" si="12"/>
        <v>0</v>
      </c>
      <c r="D85" s="30">
        <f t="shared" si="13"/>
        <v>0</v>
      </c>
      <c r="E85" s="30">
        <f t="shared" si="14"/>
        <v>21</v>
      </c>
      <c r="F85" s="31">
        <f t="shared" si="15"/>
        <v>21</v>
      </c>
      <c r="G85" s="48">
        <f t="shared" si="16"/>
        <v>21</v>
      </c>
      <c r="H85" s="41">
        <f t="shared" si="17"/>
        <v>0</v>
      </c>
      <c r="AL85" s="17">
        <f t="shared" si="20"/>
        <v>160</v>
      </c>
      <c r="AM85" s="17">
        <f t="shared" si="19"/>
        <v>25480</v>
      </c>
    </row>
    <row r="86" spans="1:39" x14ac:dyDescent="0.25">
      <c r="A86" s="28">
        <f t="shared" si="18"/>
        <v>132</v>
      </c>
      <c r="B86" s="29">
        <f t="shared" si="11"/>
        <v>0</v>
      </c>
      <c r="C86" s="30">
        <f t="shared" si="12"/>
        <v>0</v>
      </c>
      <c r="D86" s="30">
        <f t="shared" si="13"/>
        <v>0</v>
      </c>
      <c r="E86" s="30">
        <f t="shared" si="14"/>
        <v>22</v>
      </c>
      <c r="F86" s="31">
        <f t="shared" si="15"/>
        <v>22</v>
      </c>
      <c r="G86" s="48">
        <f t="shared" si="16"/>
        <v>22</v>
      </c>
      <c r="H86" s="41">
        <f t="shared" si="17"/>
        <v>0</v>
      </c>
      <c r="AL86" s="17">
        <f t="shared" si="20"/>
        <v>162</v>
      </c>
      <c r="AM86" s="17">
        <f t="shared" si="19"/>
        <v>26124</v>
      </c>
    </row>
    <row r="87" spans="1:39" x14ac:dyDescent="0.25">
      <c r="A87" s="28">
        <f t="shared" si="18"/>
        <v>133</v>
      </c>
      <c r="B87" s="29">
        <f t="shared" si="11"/>
        <v>0</v>
      </c>
      <c r="C87" s="30">
        <f t="shared" si="12"/>
        <v>0</v>
      </c>
      <c r="D87" s="30">
        <f t="shared" si="13"/>
        <v>0</v>
      </c>
      <c r="E87" s="30">
        <f t="shared" si="14"/>
        <v>23</v>
      </c>
      <c r="F87" s="31">
        <f t="shared" si="15"/>
        <v>23</v>
      </c>
      <c r="G87" s="48">
        <f t="shared" si="16"/>
        <v>23</v>
      </c>
      <c r="H87" s="41">
        <f t="shared" si="17"/>
        <v>0</v>
      </c>
      <c r="AL87" s="17">
        <f t="shared" si="20"/>
        <v>164</v>
      </c>
      <c r="AM87" s="17">
        <f t="shared" si="19"/>
        <v>26776</v>
      </c>
    </row>
    <row r="88" spans="1:39" x14ac:dyDescent="0.25">
      <c r="A88" s="28">
        <f t="shared" si="18"/>
        <v>134</v>
      </c>
      <c r="B88" s="29">
        <f t="shared" si="11"/>
        <v>0</v>
      </c>
      <c r="C88" s="30">
        <f t="shared" si="12"/>
        <v>0</v>
      </c>
      <c r="D88" s="30">
        <f t="shared" si="13"/>
        <v>0</v>
      </c>
      <c r="E88" s="30">
        <f t="shared" si="14"/>
        <v>24</v>
      </c>
      <c r="F88" s="31">
        <f t="shared" si="15"/>
        <v>24</v>
      </c>
      <c r="G88" s="48">
        <f t="shared" si="16"/>
        <v>24</v>
      </c>
      <c r="H88" s="41">
        <f t="shared" si="17"/>
        <v>0</v>
      </c>
      <c r="AL88" s="17">
        <f t="shared" si="20"/>
        <v>166</v>
      </c>
      <c r="AM88" s="17">
        <f t="shared" si="19"/>
        <v>27436</v>
      </c>
    </row>
    <row r="89" spans="1:39" x14ac:dyDescent="0.25">
      <c r="A89" s="28">
        <f t="shared" si="18"/>
        <v>135</v>
      </c>
      <c r="B89" s="29">
        <f t="shared" si="11"/>
        <v>0</v>
      </c>
      <c r="C89" s="30">
        <f t="shared" si="12"/>
        <v>0</v>
      </c>
      <c r="D89" s="30">
        <f t="shared" si="13"/>
        <v>0</v>
      </c>
      <c r="E89" s="30">
        <f t="shared" si="14"/>
        <v>25</v>
      </c>
      <c r="F89" s="31">
        <f t="shared" si="15"/>
        <v>25</v>
      </c>
      <c r="G89" s="48">
        <f t="shared" si="16"/>
        <v>25</v>
      </c>
      <c r="H89" s="41">
        <f t="shared" si="17"/>
        <v>0</v>
      </c>
      <c r="AL89" s="17">
        <f t="shared" si="20"/>
        <v>168</v>
      </c>
      <c r="AM89" s="17">
        <f t="shared" si="19"/>
        <v>28104</v>
      </c>
    </row>
    <row r="90" spans="1:39" x14ac:dyDescent="0.25">
      <c r="A90" s="28">
        <f t="shared" si="18"/>
        <v>136</v>
      </c>
      <c r="B90" s="29">
        <f t="shared" si="11"/>
        <v>0</v>
      </c>
      <c r="C90" s="30">
        <f t="shared" si="12"/>
        <v>0</v>
      </c>
      <c r="D90" s="30">
        <f t="shared" si="13"/>
        <v>0</v>
      </c>
      <c r="E90" s="30">
        <f t="shared" si="14"/>
        <v>26</v>
      </c>
      <c r="F90" s="31">
        <f t="shared" si="15"/>
        <v>26</v>
      </c>
      <c r="G90" s="48">
        <f t="shared" si="16"/>
        <v>26</v>
      </c>
      <c r="H90" s="41">
        <f t="shared" si="17"/>
        <v>0</v>
      </c>
      <c r="AL90" s="17">
        <f t="shared" si="20"/>
        <v>170</v>
      </c>
      <c r="AM90" s="17">
        <f t="shared" si="19"/>
        <v>28780</v>
      </c>
    </row>
    <row r="91" spans="1:39" x14ac:dyDescent="0.25">
      <c r="A91" s="28">
        <f t="shared" si="18"/>
        <v>137</v>
      </c>
      <c r="B91" s="29">
        <f t="shared" si="11"/>
        <v>0</v>
      </c>
      <c r="C91" s="30">
        <f t="shared" si="12"/>
        <v>0</v>
      </c>
      <c r="D91" s="30">
        <f t="shared" si="13"/>
        <v>0</v>
      </c>
      <c r="E91" s="30">
        <f t="shared" si="14"/>
        <v>27</v>
      </c>
      <c r="F91" s="31">
        <f t="shared" si="15"/>
        <v>27</v>
      </c>
      <c r="G91" s="48">
        <f t="shared" si="16"/>
        <v>27</v>
      </c>
      <c r="H91" s="41">
        <f t="shared" si="17"/>
        <v>0</v>
      </c>
      <c r="AL91" s="17">
        <f t="shared" si="20"/>
        <v>172</v>
      </c>
      <c r="AM91" s="17">
        <f t="shared" si="19"/>
        <v>29464</v>
      </c>
    </row>
    <row r="92" spans="1:39" x14ac:dyDescent="0.25">
      <c r="A92" s="28">
        <f t="shared" si="18"/>
        <v>138</v>
      </c>
      <c r="B92" s="29">
        <f t="shared" si="11"/>
        <v>0</v>
      </c>
      <c r="C92" s="30">
        <f t="shared" si="12"/>
        <v>0</v>
      </c>
      <c r="D92" s="30">
        <f t="shared" si="13"/>
        <v>0</v>
      </c>
      <c r="E92" s="30">
        <f t="shared" si="14"/>
        <v>28</v>
      </c>
      <c r="F92" s="31">
        <f t="shared" si="15"/>
        <v>28</v>
      </c>
      <c r="G92" s="48">
        <f t="shared" si="16"/>
        <v>28</v>
      </c>
      <c r="H92" s="41">
        <f t="shared" si="17"/>
        <v>0</v>
      </c>
      <c r="AL92" s="17">
        <f t="shared" si="20"/>
        <v>174</v>
      </c>
      <c r="AM92" s="17">
        <f t="shared" si="19"/>
        <v>30156</v>
      </c>
    </row>
    <row r="93" spans="1:39" x14ac:dyDescent="0.25">
      <c r="A93" s="28">
        <f t="shared" si="18"/>
        <v>139</v>
      </c>
      <c r="B93" s="29">
        <f t="shared" si="11"/>
        <v>0</v>
      </c>
      <c r="C93" s="30">
        <f t="shared" si="12"/>
        <v>0</v>
      </c>
      <c r="D93" s="30">
        <f t="shared" si="13"/>
        <v>0</v>
      </c>
      <c r="E93" s="30">
        <f t="shared" si="14"/>
        <v>29</v>
      </c>
      <c r="F93" s="31">
        <f t="shared" si="15"/>
        <v>29</v>
      </c>
      <c r="G93" s="48">
        <f t="shared" si="16"/>
        <v>29</v>
      </c>
      <c r="H93" s="41">
        <f t="shared" si="17"/>
        <v>0</v>
      </c>
      <c r="AL93" s="17">
        <f t="shared" si="20"/>
        <v>176</v>
      </c>
      <c r="AM93" s="17">
        <f t="shared" si="19"/>
        <v>30856</v>
      </c>
    </row>
    <row r="94" spans="1:39" x14ac:dyDescent="0.25">
      <c r="A94" s="28">
        <f t="shared" si="18"/>
        <v>140</v>
      </c>
      <c r="B94" s="29">
        <f t="shared" si="11"/>
        <v>0</v>
      </c>
      <c r="C94" s="30">
        <f t="shared" si="12"/>
        <v>0</v>
      </c>
      <c r="D94" s="30">
        <f t="shared" si="13"/>
        <v>0</v>
      </c>
      <c r="E94" s="30">
        <f t="shared" si="14"/>
        <v>30</v>
      </c>
      <c r="F94" s="31">
        <f t="shared" si="15"/>
        <v>30</v>
      </c>
      <c r="G94" s="48">
        <f t="shared" si="16"/>
        <v>30</v>
      </c>
      <c r="H94" s="41">
        <f t="shared" si="17"/>
        <v>0</v>
      </c>
      <c r="AL94" s="17">
        <f t="shared" si="20"/>
        <v>178</v>
      </c>
      <c r="AM94" s="17">
        <f t="shared" si="19"/>
        <v>31564</v>
      </c>
    </row>
    <row r="95" spans="1:39" x14ac:dyDescent="0.25">
      <c r="A95" s="28">
        <f t="shared" si="18"/>
        <v>141</v>
      </c>
      <c r="B95" s="29">
        <f t="shared" si="11"/>
        <v>0</v>
      </c>
      <c r="C95" s="30">
        <f t="shared" si="12"/>
        <v>0</v>
      </c>
      <c r="D95" s="30">
        <f t="shared" si="13"/>
        <v>0</v>
      </c>
      <c r="E95" s="30">
        <f t="shared" si="14"/>
        <v>31</v>
      </c>
      <c r="F95" s="31">
        <f t="shared" si="15"/>
        <v>31</v>
      </c>
      <c r="G95" s="48">
        <f t="shared" si="16"/>
        <v>31</v>
      </c>
      <c r="H95" s="41">
        <f t="shared" si="17"/>
        <v>0</v>
      </c>
      <c r="AL95" s="17">
        <f t="shared" si="20"/>
        <v>180</v>
      </c>
      <c r="AM95" s="17">
        <f t="shared" si="19"/>
        <v>32280</v>
      </c>
    </row>
    <row r="96" spans="1:39" x14ac:dyDescent="0.25">
      <c r="A96" s="28">
        <f t="shared" si="18"/>
        <v>142</v>
      </c>
      <c r="B96" s="29">
        <f t="shared" si="11"/>
        <v>0</v>
      </c>
      <c r="C96" s="30">
        <f t="shared" si="12"/>
        <v>0</v>
      </c>
      <c r="D96" s="30">
        <f t="shared" si="13"/>
        <v>0</v>
      </c>
      <c r="E96" s="30">
        <f t="shared" si="14"/>
        <v>32</v>
      </c>
      <c r="F96" s="31">
        <f t="shared" si="15"/>
        <v>32</v>
      </c>
      <c r="G96" s="48">
        <f t="shared" si="16"/>
        <v>32</v>
      </c>
      <c r="H96" s="41">
        <f t="shared" si="17"/>
        <v>0</v>
      </c>
      <c r="AL96" s="17">
        <f t="shared" si="20"/>
        <v>182</v>
      </c>
      <c r="AM96" s="17">
        <f t="shared" si="19"/>
        <v>33004</v>
      </c>
    </row>
    <row r="97" spans="1:39" x14ac:dyDescent="0.25">
      <c r="A97" s="28">
        <f t="shared" si="18"/>
        <v>143</v>
      </c>
      <c r="B97" s="29">
        <f t="shared" si="11"/>
        <v>0</v>
      </c>
      <c r="C97" s="30">
        <f t="shared" si="12"/>
        <v>0</v>
      </c>
      <c r="D97" s="30">
        <f t="shared" si="13"/>
        <v>0</v>
      </c>
      <c r="E97" s="30">
        <f t="shared" si="14"/>
        <v>33</v>
      </c>
      <c r="F97" s="31">
        <f t="shared" si="15"/>
        <v>33</v>
      </c>
      <c r="G97" s="48">
        <f t="shared" si="16"/>
        <v>33</v>
      </c>
      <c r="H97" s="41">
        <f t="shared" si="17"/>
        <v>0</v>
      </c>
      <c r="AL97" s="17">
        <f t="shared" si="20"/>
        <v>184</v>
      </c>
      <c r="AM97" s="17">
        <f t="shared" si="19"/>
        <v>33736</v>
      </c>
    </row>
    <row r="98" spans="1:39" x14ac:dyDescent="0.25">
      <c r="A98" s="28">
        <f t="shared" si="18"/>
        <v>144</v>
      </c>
      <c r="B98" s="29">
        <f t="shared" si="11"/>
        <v>0</v>
      </c>
      <c r="C98" s="30">
        <f t="shared" si="12"/>
        <v>0</v>
      </c>
      <c r="D98" s="30">
        <f t="shared" si="13"/>
        <v>0</v>
      </c>
      <c r="E98" s="30">
        <f t="shared" si="14"/>
        <v>34</v>
      </c>
      <c r="F98" s="31">
        <f t="shared" si="15"/>
        <v>34</v>
      </c>
      <c r="G98" s="48">
        <f t="shared" si="16"/>
        <v>34</v>
      </c>
      <c r="H98" s="41">
        <f t="shared" si="17"/>
        <v>0</v>
      </c>
      <c r="AL98" s="17">
        <f t="shared" si="20"/>
        <v>186</v>
      </c>
      <c r="AM98" s="17">
        <f t="shared" si="19"/>
        <v>34476</v>
      </c>
    </row>
    <row r="99" spans="1:39" x14ac:dyDescent="0.25">
      <c r="A99" s="28">
        <f t="shared" si="18"/>
        <v>145</v>
      </c>
      <c r="B99" s="29">
        <f t="shared" si="11"/>
        <v>0</v>
      </c>
      <c r="C99" s="30">
        <f t="shared" si="12"/>
        <v>0</v>
      </c>
      <c r="D99" s="30">
        <f t="shared" si="13"/>
        <v>0</v>
      </c>
      <c r="E99" s="30">
        <f t="shared" si="14"/>
        <v>35</v>
      </c>
      <c r="F99" s="31">
        <f t="shared" si="15"/>
        <v>35</v>
      </c>
      <c r="G99" s="48">
        <f t="shared" si="16"/>
        <v>35</v>
      </c>
      <c r="H99" s="41">
        <f t="shared" si="17"/>
        <v>0</v>
      </c>
      <c r="AL99" s="17">
        <f t="shared" si="20"/>
        <v>188</v>
      </c>
      <c r="AM99" s="17">
        <f t="shared" si="19"/>
        <v>35224</v>
      </c>
    </row>
    <row r="100" spans="1:39" x14ac:dyDescent="0.25">
      <c r="A100" s="28">
        <f t="shared" si="18"/>
        <v>146</v>
      </c>
      <c r="B100" s="29">
        <f t="shared" si="11"/>
        <v>0</v>
      </c>
      <c r="C100" s="30">
        <f t="shared" si="12"/>
        <v>0</v>
      </c>
      <c r="D100" s="30">
        <f t="shared" si="13"/>
        <v>0</v>
      </c>
      <c r="E100" s="30">
        <f t="shared" si="14"/>
        <v>36</v>
      </c>
      <c r="F100" s="31">
        <f t="shared" si="15"/>
        <v>36</v>
      </c>
      <c r="G100" s="48">
        <f t="shared" si="16"/>
        <v>36</v>
      </c>
      <c r="H100" s="41">
        <f t="shared" si="17"/>
        <v>0</v>
      </c>
      <c r="AL100" s="17">
        <f t="shared" si="20"/>
        <v>190</v>
      </c>
      <c r="AM100" s="17">
        <f t="shared" si="19"/>
        <v>35980</v>
      </c>
    </row>
    <row r="101" spans="1:39" x14ac:dyDescent="0.25">
      <c r="A101" s="28">
        <f t="shared" si="18"/>
        <v>147</v>
      </c>
      <c r="B101" s="29">
        <f t="shared" si="11"/>
        <v>0</v>
      </c>
      <c r="C101" s="30">
        <f t="shared" si="12"/>
        <v>0</v>
      </c>
      <c r="D101" s="30">
        <f t="shared" si="13"/>
        <v>0</v>
      </c>
      <c r="E101" s="30">
        <f t="shared" si="14"/>
        <v>37</v>
      </c>
      <c r="F101" s="31">
        <f t="shared" si="15"/>
        <v>37</v>
      </c>
      <c r="G101" s="48">
        <f t="shared" si="16"/>
        <v>37</v>
      </c>
      <c r="H101" s="41">
        <f t="shared" si="17"/>
        <v>0</v>
      </c>
      <c r="AL101" s="17">
        <f t="shared" si="20"/>
        <v>192</v>
      </c>
      <c r="AM101" s="17">
        <f t="shared" si="19"/>
        <v>36744</v>
      </c>
    </row>
    <row r="102" spans="1:39" x14ac:dyDescent="0.25">
      <c r="A102" s="28">
        <f t="shared" si="18"/>
        <v>148</v>
      </c>
      <c r="B102" s="29">
        <f t="shared" si="11"/>
        <v>0</v>
      </c>
      <c r="C102" s="30">
        <f t="shared" si="12"/>
        <v>0</v>
      </c>
      <c r="D102" s="30">
        <f t="shared" si="13"/>
        <v>0</v>
      </c>
      <c r="E102" s="30">
        <f t="shared" si="14"/>
        <v>38</v>
      </c>
      <c r="F102" s="31">
        <f t="shared" si="15"/>
        <v>38</v>
      </c>
      <c r="G102" s="48">
        <f t="shared" si="16"/>
        <v>38</v>
      </c>
      <c r="H102" s="41">
        <f t="shared" si="17"/>
        <v>0</v>
      </c>
      <c r="AL102" s="17">
        <f t="shared" si="20"/>
        <v>194</v>
      </c>
      <c r="AM102" s="17">
        <f t="shared" si="19"/>
        <v>37516</v>
      </c>
    </row>
    <row r="103" spans="1:39" x14ac:dyDescent="0.25">
      <c r="A103" s="28">
        <f t="shared" si="18"/>
        <v>149</v>
      </c>
      <c r="B103" s="29">
        <f t="shared" si="11"/>
        <v>0</v>
      </c>
      <c r="C103" s="30">
        <f t="shared" si="12"/>
        <v>0</v>
      </c>
      <c r="D103" s="30">
        <f t="shared" si="13"/>
        <v>0</v>
      </c>
      <c r="E103" s="30">
        <f t="shared" si="14"/>
        <v>39</v>
      </c>
      <c r="F103" s="31">
        <f t="shared" si="15"/>
        <v>39</v>
      </c>
      <c r="G103" s="48">
        <f t="shared" si="16"/>
        <v>39</v>
      </c>
      <c r="H103" s="41">
        <f t="shared" si="17"/>
        <v>0</v>
      </c>
      <c r="AL103" s="17">
        <f t="shared" si="20"/>
        <v>196</v>
      </c>
      <c r="AM103" s="17">
        <f t="shared" si="19"/>
        <v>38296</v>
      </c>
    </row>
    <row r="104" spans="1:39" x14ac:dyDescent="0.25">
      <c r="A104" s="28">
        <f t="shared" si="18"/>
        <v>150</v>
      </c>
      <c r="B104" s="38">
        <f t="shared" si="11"/>
        <v>0</v>
      </c>
      <c r="C104" s="32">
        <f t="shared" si="12"/>
        <v>0</v>
      </c>
      <c r="D104" s="32">
        <f t="shared" si="13"/>
        <v>0</v>
      </c>
      <c r="E104" s="32">
        <f t="shared" si="14"/>
        <v>40</v>
      </c>
      <c r="F104" s="39">
        <f t="shared" si="15"/>
        <v>40</v>
      </c>
      <c r="G104" s="48">
        <f t="shared" si="16"/>
        <v>40</v>
      </c>
      <c r="H104" s="41">
        <f t="shared" si="17"/>
        <v>0</v>
      </c>
      <c r="AL104" s="17">
        <f t="shared" si="20"/>
        <v>198</v>
      </c>
      <c r="AM104" s="17">
        <f t="shared" si="19"/>
        <v>39084</v>
      </c>
    </row>
    <row r="105" spans="1:39" x14ac:dyDescent="0.25">
      <c r="A105" s="28"/>
      <c r="AL105" s="17">
        <f t="shared" si="20"/>
        <v>200</v>
      </c>
      <c r="AM105" s="17">
        <f t="shared" si="19"/>
        <v>39880</v>
      </c>
    </row>
    <row r="106" spans="1:39" x14ac:dyDescent="0.25">
      <c r="A106" s="28"/>
      <c r="AL106" s="17">
        <f t="shared" si="20"/>
        <v>202</v>
      </c>
      <c r="AM106" s="17">
        <f t="shared" si="19"/>
        <v>40684</v>
      </c>
    </row>
    <row r="107" spans="1:39" x14ac:dyDescent="0.25">
      <c r="A107" s="28"/>
      <c r="AL107" s="17">
        <f t="shared" si="20"/>
        <v>204</v>
      </c>
      <c r="AM107" s="17">
        <f t="shared" si="19"/>
        <v>41496</v>
      </c>
    </row>
    <row r="108" spans="1:39" x14ac:dyDescent="0.25">
      <c r="A108" s="28"/>
      <c r="AL108" s="17">
        <f t="shared" si="20"/>
        <v>206</v>
      </c>
      <c r="AM108" s="17">
        <f t="shared" si="19"/>
        <v>42316</v>
      </c>
    </row>
    <row r="109" spans="1:39" x14ac:dyDescent="0.25">
      <c r="A109" s="28"/>
      <c r="AL109" s="17">
        <f t="shared" si="20"/>
        <v>208</v>
      </c>
      <c r="AM109" s="17">
        <f t="shared" si="19"/>
        <v>43144</v>
      </c>
    </row>
    <row r="110" spans="1:39" x14ac:dyDescent="0.25">
      <c r="A110" s="28"/>
      <c r="AL110" s="17">
        <f t="shared" si="20"/>
        <v>210</v>
      </c>
      <c r="AM110" s="17">
        <f t="shared" si="19"/>
        <v>43980</v>
      </c>
    </row>
    <row r="111" spans="1:39" x14ac:dyDescent="0.25">
      <c r="A111" s="28"/>
      <c r="AL111" s="17">
        <f t="shared" si="20"/>
        <v>212</v>
      </c>
      <c r="AM111" s="17">
        <f t="shared" si="19"/>
        <v>44824</v>
      </c>
    </row>
    <row r="112" spans="1:39" x14ac:dyDescent="0.25">
      <c r="A112" s="28"/>
      <c r="AL112" s="17">
        <f t="shared" si="20"/>
        <v>214</v>
      </c>
      <c r="AM112" s="17">
        <f t="shared" si="19"/>
        <v>45676</v>
      </c>
    </row>
    <row r="113" spans="1:39" x14ac:dyDescent="0.25">
      <c r="A113" s="28"/>
      <c r="AL113" s="17">
        <f t="shared" si="20"/>
        <v>216</v>
      </c>
      <c r="AM113" s="17">
        <f t="shared" si="19"/>
        <v>46536</v>
      </c>
    </row>
    <row r="114" spans="1:39" x14ac:dyDescent="0.25">
      <c r="A114" s="28"/>
      <c r="AL114" s="17">
        <f t="shared" si="20"/>
        <v>218</v>
      </c>
      <c r="AM114" s="17">
        <f t="shared" si="19"/>
        <v>47404</v>
      </c>
    </row>
    <row r="115" spans="1:39" x14ac:dyDescent="0.25">
      <c r="A115" s="28"/>
      <c r="AL115" s="17">
        <f t="shared" si="20"/>
        <v>220</v>
      </c>
      <c r="AM115" s="17">
        <f t="shared" si="19"/>
        <v>48280</v>
      </c>
    </row>
    <row r="116" spans="1:39" x14ac:dyDescent="0.25">
      <c r="A116" s="28"/>
      <c r="AL116" s="17">
        <f t="shared" si="20"/>
        <v>222</v>
      </c>
      <c r="AM116" s="17">
        <f t="shared" si="19"/>
        <v>49164</v>
      </c>
    </row>
    <row r="117" spans="1:39" x14ac:dyDescent="0.25">
      <c r="A117" s="28"/>
      <c r="AL117" s="17">
        <f t="shared" si="20"/>
        <v>224</v>
      </c>
      <c r="AM117" s="17">
        <f t="shared" si="19"/>
        <v>50056</v>
      </c>
    </row>
    <row r="118" spans="1:39" x14ac:dyDescent="0.25">
      <c r="A118" s="28"/>
      <c r="AL118" s="17">
        <f t="shared" si="20"/>
        <v>226</v>
      </c>
      <c r="AM118" s="17">
        <f t="shared" si="19"/>
        <v>50956</v>
      </c>
    </row>
    <row r="119" spans="1:39" x14ac:dyDescent="0.25">
      <c r="A119" s="28"/>
      <c r="AL119" s="17">
        <f t="shared" si="20"/>
        <v>228</v>
      </c>
      <c r="AM119" s="17">
        <f t="shared" si="19"/>
        <v>51864</v>
      </c>
    </row>
    <row r="120" spans="1:39" x14ac:dyDescent="0.25">
      <c r="A120" s="28"/>
      <c r="AL120" s="17">
        <f t="shared" si="20"/>
        <v>230</v>
      </c>
      <c r="AM120" s="17">
        <f t="shared" si="19"/>
        <v>52780</v>
      </c>
    </row>
    <row r="121" spans="1:39" x14ac:dyDescent="0.25">
      <c r="A121" s="28"/>
      <c r="AL121" s="17">
        <f t="shared" si="20"/>
        <v>232</v>
      </c>
      <c r="AM121" s="17">
        <f t="shared" si="19"/>
        <v>53704</v>
      </c>
    </row>
    <row r="122" spans="1:39" x14ac:dyDescent="0.25">
      <c r="A122" s="28"/>
      <c r="AL122" s="17">
        <f t="shared" si="20"/>
        <v>234</v>
      </c>
      <c r="AM122" s="17">
        <f t="shared" si="19"/>
        <v>54636</v>
      </c>
    </row>
    <row r="123" spans="1:39" x14ac:dyDescent="0.25">
      <c r="A123" s="28"/>
      <c r="AL123" s="17">
        <f t="shared" si="20"/>
        <v>236</v>
      </c>
      <c r="AM123" s="17">
        <f t="shared" si="19"/>
        <v>55576</v>
      </c>
    </row>
    <row r="124" spans="1:39" x14ac:dyDescent="0.25">
      <c r="A124" s="28"/>
      <c r="AL124" s="17">
        <f t="shared" si="20"/>
        <v>238</v>
      </c>
      <c r="AM124" s="17">
        <f t="shared" si="19"/>
        <v>56524</v>
      </c>
    </row>
    <row r="125" spans="1:39" x14ac:dyDescent="0.25">
      <c r="A125" s="28"/>
      <c r="AL125" s="17">
        <f t="shared" si="20"/>
        <v>240</v>
      </c>
      <c r="AM125" s="17">
        <f t="shared" si="19"/>
        <v>57480</v>
      </c>
    </row>
    <row r="126" spans="1:39" x14ac:dyDescent="0.25">
      <c r="A126" s="28"/>
      <c r="AL126" s="17">
        <f t="shared" si="20"/>
        <v>242</v>
      </c>
      <c r="AM126" s="17">
        <f t="shared" si="19"/>
        <v>58444</v>
      </c>
    </row>
    <row r="127" spans="1:39" x14ac:dyDescent="0.25">
      <c r="A127" s="28"/>
      <c r="AL127" s="17">
        <f t="shared" si="20"/>
        <v>244</v>
      </c>
      <c r="AM127" s="17">
        <f t="shared" si="19"/>
        <v>59416</v>
      </c>
    </row>
    <row r="128" spans="1:39" x14ac:dyDescent="0.25">
      <c r="A128" s="28"/>
      <c r="AL128" s="17">
        <f t="shared" si="20"/>
        <v>246</v>
      </c>
      <c r="AM128" s="17">
        <f t="shared" si="19"/>
        <v>60396</v>
      </c>
    </row>
    <row r="129" spans="1:1" x14ac:dyDescent="0.25">
      <c r="A129" s="28"/>
    </row>
    <row r="130" spans="1:1" x14ac:dyDescent="0.25">
      <c r="A130" s="28"/>
    </row>
    <row r="131" spans="1:1" x14ac:dyDescent="0.25">
      <c r="A131" s="28"/>
    </row>
    <row r="132" spans="1:1" x14ac:dyDescent="0.25">
      <c r="A132" s="28"/>
    </row>
  </sheetData>
  <mergeCells count="18">
    <mergeCell ref="K10:N10"/>
    <mergeCell ref="J17:K17"/>
    <mergeCell ref="G1:G3"/>
    <mergeCell ref="H1:H3"/>
    <mergeCell ref="I1:J1"/>
    <mergeCell ref="I2:I10"/>
    <mergeCell ref="K2:N2"/>
    <mergeCell ref="B3:E3"/>
    <mergeCell ref="K6:N6"/>
    <mergeCell ref="K7:N7"/>
    <mergeCell ref="K8:N8"/>
    <mergeCell ref="K9:N9"/>
    <mergeCell ref="F1:F3"/>
    <mergeCell ref="A1:A2"/>
    <mergeCell ref="B1:B2"/>
    <mergeCell ref="C1:C2"/>
    <mergeCell ref="D1:D2"/>
    <mergeCell ref="E1:E2"/>
  </mergeCells>
  <pageMargins left="0.75" right="0.75" top="1" bottom="1" header="0.5" footer="0.5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F35B-CC17-4146-8C4F-CC38CA31D618}">
  <dimension ref="A1:AR138"/>
  <sheetViews>
    <sheetView topLeftCell="AB136" workbookViewId="0">
      <selection activeCell="AR144" sqref="AR144"/>
    </sheetView>
  </sheetViews>
  <sheetFormatPr defaultColWidth="9.1796875" defaultRowHeight="12.5" x14ac:dyDescent="0.25"/>
  <cols>
    <col min="1" max="1" width="20.1796875" style="56" bestFit="1" customWidth="1"/>
    <col min="2" max="2" width="10.1796875" style="56" bestFit="1" customWidth="1"/>
    <col min="3" max="5" width="9.1796875" style="56"/>
    <col min="6" max="6" width="12.26953125" style="56" bestFit="1" customWidth="1"/>
    <col min="7" max="14" width="9.1796875" style="56"/>
    <col min="15" max="15" width="11.81640625" style="56" bestFit="1" customWidth="1"/>
    <col min="16" max="16" width="12.453125" style="56" bestFit="1" customWidth="1"/>
    <col min="17" max="26" width="9.1796875" style="56"/>
    <col min="27" max="31" width="10.36328125" style="56" bestFit="1" customWidth="1"/>
    <col min="32" max="32" width="10" style="56" bestFit="1" customWidth="1"/>
    <col min="33" max="33" width="9.90625" style="56" bestFit="1" customWidth="1"/>
    <col min="34" max="34" width="9.7265625" style="56" bestFit="1" customWidth="1"/>
    <col min="35" max="16384" width="9.1796875" style="56"/>
  </cols>
  <sheetData>
    <row r="1" spans="1:31" x14ac:dyDescent="0.25">
      <c r="A1" s="82" t="s">
        <v>0</v>
      </c>
      <c r="B1" s="85">
        <v>100</v>
      </c>
      <c r="E1" s="190" t="s">
        <v>87</v>
      </c>
      <c r="F1" s="33" t="s">
        <v>88</v>
      </c>
      <c r="G1" s="18">
        <f>B7/B9</f>
        <v>6.6666666666666671E-3</v>
      </c>
      <c r="H1" s="17"/>
    </row>
    <row r="2" spans="1:31" x14ac:dyDescent="0.25">
      <c r="A2" s="83" t="s">
        <v>143</v>
      </c>
      <c r="B2" s="86">
        <v>90</v>
      </c>
      <c r="E2" s="191"/>
      <c r="F2" s="33" t="s">
        <v>89</v>
      </c>
      <c r="G2" s="18">
        <f>EXP(B4*SQRT(G1))</f>
        <v>1.0247973619913604</v>
      </c>
      <c r="H2" s="17"/>
      <c r="O2" s="17"/>
      <c r="P2" s="17"/>
    </row>
    <row r="3" spans="1:31" x14ac:dyDescent="0.25">
      <c r="A3" s="83" t="s">
        <v>144</v>
      </c>
      <c r="B3" s="86">
        <v>110</v>
      </c>
      <c r="E3" s="191"/>
      <c r="F3" s="33" t="s">
        <v>90</v>
      </c>
      <c r="G3" s="18">
        <f>1/G2</f>
        <v>0.97580266800923965</v>
      </c>
      <c r="H3" s="17"/>
      <c r="O3" s="17"/>
      <c r="P3" s="17"/>
    </row>
    <row r="4" spans="1:31" x14ac:dyDescent="0.25">
      <c r="A4" s="83" t="s">
        <v>60</v>
      </c>
      <c r="B4" s="87">
        <v>0.3</v>
      </c>
      <c r="E4" s="191"/>
      <c r="F4" s="60" t="s">
        <v>91</v>
      </c>
      <c r="G4" s="61">
        <f>(EXP((B5-B6)*G1)-G3)/(G2-G3)</f>
        <v>0.497959064730498</v>
      </c>
      <c r="H4" s="17"/>
      <c r="O4" s="17"/>
      <c r="P4" s="17"/>
    </row>
    <row r="5" spans="1:31" x14ac:dyDescent="0.25">
      <c r="A5" s="83" t="s">
        <v>92</v>
      </c>
      <c r="B5" s="87">
        <v>0.05</v>
      </c>
      <c r="E5" s="192"/>
      <c r="F5" s="61" t="s">
        <v>93</v>
      </c>
      <c r="G5" s="62">
        <f>A108</f>
        <v>7.6380857799197628</v>
      </c>
      <c r="O5" s="17"/>
      <c r="P5" s="53"/>
    </row>
    <row r="6" spans="1:31" x14ac:dyDescent="0.25">
      <c r="A6" s="83" t="s">
        <v>94</v>
      </c>
      <c r="B6" s="87">
        <v>0.02</v>
      </c>
      <c r="E6" s="63"/>
      <c r="F6" s="17"/>
      <c r="G6" s="25"/>
      <c r="O6" s="17"/>
      <c r="P6" s="64"/>
    </row>
    <row r="7" spans="1:31" x14ac:dyDescent="0.25">
      <c r="A7" s="83" t="s">
        <v>145</v>
      </c>
      <c r="B7" s="57">
        <v>0.2</v>
      </c>
      <c r="E7" s="63"/>
      <c r="F7" s="25"/>
      <c r="G7" s="25"/>
    </row>
    <row r="8" spans="1:31" x14ac:dyDescent="0.25">
      <c r="A8" s="56" t="s">
        <v>146</v>
      </c>
      <c r="B8" s="57">
        <v>0.3</v>
      </c>
    </row>
    <row r="9" spans="1:31" x14ac:dyDescent="0.25">
      <c r="A9" s="84" t="s">
        <v>96</v>
      </c>
      <c r="B9" s="66">
        <v>30</v>
      </c>
    </row>
    <row r="10" spans="1:31" x14ac:dyDescent="0.25">
      <c r="A10" s="68"/>
      <c r="B10" s="68"/>
    </row>
    <row r="11" spans="1:31" x14ac:dyDescent="0.25">
      <c r="A11" s="68"/>
      <c r="B11" s="68"/>
    </row>
    <row r="12" spans="1:31" x14ac:dyDescent="0.25">
      <c r="A12" s="68"/>
      <c r="B12" s="68"/>
    </row>
    <row r="13" spans="1:31" x14ac:dyDescent="0.25">
      <c r="A13" s="68"/>
      <c r="B13" s="68"/>
    </row>
    <row r="14" spans="1:31" x14ac:dyDescent="0.25">
      <c r="A14" s="69">
        <v>0</v>
      </c>
      <c r="B14" s="70" t="s">
        <v>88</v>
      </c>
      <c r="C14" s="70" t="s">
        <v>97</v>
      </c>
      <c r="D14" s="70" t="s">
        <v>98</v>
      </c>
      <c r="E14" s="70" t="s">
        <v>99</v>
      </c>
      <c r="F14" s="70" t="s">
        <v>100</v>
      </c>
      <c r="G14" s="70" t="s">
        <v>101</v>
      </c>
      <c r="H14" s="70" t="s">
        <v>102</v>
      </c>
      <c r="I14" s="70" t="s">
        <v>103</v>
      </c>
      <c r="J14" s="70" t="s">
        <v>104</v>
      </c>
      <c r="K14" s="70" t="s">
        <v>105</v>
      </c>
      <c r="L14" s="70" t="s">
        <v>106</v>
      </c>
      <c r="M14" s="70" t="s">
        <v>107</v>
      </c>
      <c r="N14" s="70" t="s">
        <v>108</v>
      </c>
      <c r="O14" s="70" t="s">
        <v>109</v>
      </c>
      <c r="P14" s="70" t="s">
        <v>110</v>
      </c>
      <c r="Q14" s="70" t="s">
        <v>111</v>
      </c>
      <c r="R14" s="70" t="s">
        <v>112</v>
      </c>
      <c r="S14" s="70" t="s">
        <v>113</v>
      </c>
      <c r="T14" s="70" t="s">
        <v>114</v>
      </c>
      <c r="U14" s="70" t="s">
        <v>115</v>
      </c>
      <c r="V14" s="70" t="s">
        <v>116</v>
      </c>
      <c r="W14" s="70" t="s">
        <v>117</v>
      </c>
      <c r="X14" s="70" t="s">
        <v>118</v>
      </c>
      <c r="Y14" s="70" t="s">
        <v>119</v>
      </c>
      <c r="Z14" s="70" t="s">
        <v>120</v>
      </c>
      <c r="AA14" s="70" t="s">
        <v>121</v>
      </c>
      <c r="AB14" s="70" t="s">
        <v>122</v>
      </c>
      <c r="AC14" s="70" t="s">
        <v>123</v>
      </c>
      <c r="AD14" s="70" t="s">
        <v>124</v>
      </c>
      <c r="AE14" s="70" t="s">
        <v>125</v>
      </c>
    </row>
    <row r="15" spans="1:31" x14ac:dyDescent="0.2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2">
        <f>$G$2*AD16</f>
        <v>208.51627772667712</v>
      </c>
    </row>
    <row r="16" spans="1:31" x14ac:dyDescent="0.25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2">
        <f>$G$2*AC17</f>
        <v>203.4707401290471</v>
      </c>
      <c r="AE16" s="71"/>
    </row>
    <row r="17" spans="1:3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2">
        <f>$G$2*AB18</f>
        <v>198.54729107973881</v>
      </c>
      <c r="AD17" s="71"/>
      <c r="AE17" s="72">
        <f>$G$2*AD18</f>
        <v>198.54729107973881</v>
      </c>
    </row>
    <row r="18" spans="1:31" x14ac:dyDescent="0.25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2">
        <f>$G$2*AA19</f>
        <v>193.74297636161623</v>
      </c>
      <c r="AC18" s="71"/>
      <c r="AD18" s="72">
        <f>$G$2*AC19</f>
        <v>193.74297636161623</v>
      </c>
      <c r="AE18" s="71"/>
    </row>
    <row r="19" spans="1:31" x14ac:dyDescent="0.2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>
        <f>$G$2*Z20</f>
        <v>189.05491324171615</v>
      </c>
      <c r="AB19" s="71"/>
      <c r="AC19" s="72">
        <f>$G$2*AB20</f>
        <v>189.05491324171615</v>
      </c>
      <c r="AD19" s="71"/>
      <c r="AE19" s="72">
        <f>$G$2*AD20</f>
        <v>189.05491324171615</v>
      </c>
    </row>
    <row r="20" spans="1:31" x14ac:dyDescent="0.25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2">
        <f>$G$2*Y21</f>
        <v>184.48028874152195</v>
      </c>
      <c r="AA20" s="71"/>
      <c r="AB20" s="72">
        <f>$G$2*AA21</f>
        <v>184.48028874152195</v>
      </c>
      <c r="AC20" s="71"/>
      <c r="AD20" s="72">
        <f>$G$2*AC21</f>
        <v>184.48028874152195</v>
      </c>
      <c r="AE20" s="71"/>
    </row>
    <row r="21" spans="1:31" x14ac:dyDescent="0.2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2">
        <f>$G$2*X22</f>
        <v>180.016357949092</v>
      </c>
      <c r="Z21" s="71"/>
      <c r="AA21" s="72">
        <f>$G$2*Z22</f>
        <v>180.016357949092</v>
      </c>
      <c r="AB21" s="71"/>
      <c r="AC21" s="72">
        <f>$G$2*AB22</f>
        <v>180.016357949092</v>
      </c>
      <c r="AD21" s="71"/>
      <c r="AE21" s="72">
        <f>$G$2*AD22</f>
        <v>180.01635794909203</v>
      </c>
    </row>
    <row r="22" spans="1:31" x14ac:dyDescent="0.2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2">
        <f>$G$2*W23</f>
        <v>175.66044237203025</v>
      </c>
      <c r="Y22" s="71"/>
      <c r="Z22" s="72">
        <f>$G$2*Y23</f>
        <v>175.66044237203025</v>
      </c>
      <c r="AA22" s="71"/>
      <c r="AB22" s="72">
        <f>$G$2*AA23</f>
        <v>175.66044237203025</v>
      </c>
      <c r="AC22" s="71"/>
      <c r="AD22" s="72">
        <f>$G$2*AC23</f>
        <v>175.66044237203027</v>
      </c>
      <c r="AE22" s="71"/>
    </row>
    <row r="23" spans="1:31" x14ac:dyDescent="0.25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2">
        <f>$G$2*V24</f>
        <v>171.40992833031041</v>
      </c>
      <c r="X23" s="71"/>
      <c r="Y23" s="72">
        <f>$G$2*X24</f>
        <v>171.40992833031041</v>
      </c>
      <c r="Z23" s="71"/>
      <c r="AA23" s="72">
        <f>$G$2*Z24</f>
        <v>171.40992833031041</v>
      </c>
      <c r="AB23" s="71"/>
      <c r="AC23" s="72">
        <f>$G$2*AB24</f>
        <v>171.40992833031044</v>
      </c>
      <c r="AD23" s="71"/>
      <c r="AE23" s="72">
        <f>$G$2*AD24</f>
        <v>171.40992833031044</v>
      </c>
    </row>
    <row r="24" spans="1:31" x14ac:dyDescent="0.2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2">
        <f>$G$2*U25</f>
        <v>167.26226538798943</v>
      </c>
      <c r="W24" s="71"/>
      <c r="X24" s="72">
        <f>$G$2*W25</f>
        <v>167.26226538798943</v>
      </c>
      <c r="Y24" s="71"/>
      <c r="Z24" s="72">
        <f>$G$2*Y25</f>
        <v>167.26226538798943</v>
      </c>
      <c r="AA24" s="71"/>
      <c r="AB24" s="72">
        <f>$G$2*AA25</f>
        <v>167.26226538798946</v>
      </c>
      <c r="AC24" s="71"/>
      <c r="AD24" s="72">
        <f>$G$2*AC25</f>
        <v>167.26226538798946</v>
      </c>
      <c r="AE24" s="71"/>
    </row>
    <row r="25" spans="1:31" x14ac:dyDescent="0.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2">
        <f>$G$2*T26</f>
        <v>163.21496482286958</v>
      </c>
      <c r="V25" s="71"/>
      <c r="W25" s="72">
        <f>$G$2*V26</f>
        <v>163.21496482286958</v>
      </c>
      <c r="X25" s="71"/>
      <c r="Y25" s="72">
        <f>$G$2*X26</f>
        <v>163.21496482286958</v>
      </c>
      <c r="Z25" s="71"/>
      <c r="AA25" s="72">
        <f>$G$2*Z26</f>
        <v>163.2149648228696</v>
      </c>
      <c r="AB25" s="71"/>
      <c r="AC25" s="72">
        <f>$G$2*AB26</f>
        <v>163.2149648228696</v>
      </c>
      <c r="AD25" s="71"/>
      <c r="AE25" s="72">
        <f>$G$2*AD26</f>
        <v>163.2149648228696</v>
      </c>
    </row>
    <row r="26" spans="1:31" x14ac:dyDescent="0.25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2">
        <f>$G$2*S27</f>
        <v>159.26559813319031</v>
      </c>
      <c r="U26" s="71"/>
      <c r="V26" s="72">
        <f>$G$2*U27</f>
        <v>159.26559813319031</v>
      </c>
      <c r="W26" s="71"/>
      <c r="X26" s="72">
        <f>$G$2*W27</f>
        <v>159.26559813319031</v>
      </c>
      <c r="Y26" s="71"/>
      <c r="Z26" s="72">
        <f>$G$2*Y27</f>
        <v>159.26559813319034</v>
      </c>
      <c r="AA26" s="71"/>
      <c r="AB26" s="72">
        <f>$G$2*AA27</f>
        <v>159.26559813319034</v>
      </c>
      <c r="AC26" s="71"/>
      <c r="AD26" s="72">
        <f>$G$2*AC27</f>
        <v>159.26559813319034</v>
      </c>
      <c r="AE26" s="71"/>
    </row>
    <row r="27" spans="1:31" x14ac:dyDescent="0.2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2">
        <f>$G$2*R28</f>
        <v>155.41179558045448</v>
      </c>
      <c r="T27" s="71"/>
      <c r="U27" s="72">
        <f>$G$2*T28</f>
        <v>155.41179558045448</v>
      </c>
      <c r="V27" s="71"/>
      <c r="W27" s="72">
        <f>$G$2*V28</f>
        <v>155.41179558045448</v>
      </c>
      <c r="X27" s="71"/>
      <c r="Y27" s="72">
        <f>$G$2*X28</f>
        <v>155.41179558045451</v>
      </c>
      <c r="Z27" s="71"/>
      <c r="AA27" s="72">
        <f>$G$2*Z28</f>
        <v>155.41179558045451</v>
      </c>
      <c r="AB27" s="71"/>
      <c r="AC27" s="72">
        <f>$G$2*AB28</f>
        <v>155.41179558045451</v>
      </c>
      <c r="AD27" s="71"/>
      <c r="AE27" s="72">
        <f>$G$2*AD28</f>
        <v>155.41179558045451</v>
      </c>
    </row>
    <row r="28" spans="1:31" x14ac:dyDescent="0.2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2">
        <f>$G$2*Q29</f>
        <v>151.65124476751404</v>
      </c>
      <c r="S28" s="71"/>
      <c r="T28" s="72">
        <f>$G$2*S29</f>
        <v>151.65124476751404</v>
      </c>
      <c r="U28" s="71"/>
      <c r="V28" s="72">
        <f>$G$2*U29</f>
        <v>151.65124476751404</v>
      </c>
      <c r="W28" s="71"/>
      <c r="X28" s="72">
        <f>$G$2*W29</f>
        <v>151.65124476751407</v>
      </c>
      <c r="Y28" s="71"/>
      <c r="Z28" s="72">
        <f>$G$2*Y29</f>
        <v>151.65124476751407</v>
      </c>
      <c r="AA28" s="71"/>
      <c r="AB28" s="72">
        <f>$G$2*AA29</f>
        <v>151.65124476751407</v>
      </c>
      <c r="AC28" s="71"/>
      <c r="AD28" s="72">
        <f>$G$2*AC29</f>
        <v>151.65124476751407</v>
      </c>
      <c r="AE28" s="71"/>
    </row>
    <row r="29" spans="1:31" x14ac:dyDescent="0.2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2">
        <f>$G$2*P30</f>
        <v>147.98168925106245</v>
      </c>
      <c r="R29" s="71"/>
      <c r="S29" s="72">
        <f>$G$2*R30</f>
        <v>147.98168925106245</v>
      </c>
      <c r="T29" s="71"/>
      <c r="U29" s="72">
        <f>$G$2*T30</f>
        <v>147.98168925106245</v>
      </c>
      <c r="V29" s="71"/>
      <c r="W29" s="72">
        <f>$G$2*V30</f>
        <v>147.98168925106248</v>
      </c>
      <c r="X29" s="71"/>
      <c r="Y29" s="72">
        <f>$G$2*X30</f>
        <v>147.98168925106248</v>
      </c>
      <c r="Z29" s="71"/>
      <c r="AA29" s="72">
        <f>$G$2*Z30</f>
        <v>147.98168925106248</v>
      </c>
      <c r="AB29" s="71"/>
      <c r="AC29" s="72">
        <f>$G$2*AB30</f>
        <v>147.98168925106248</v>
      </c>
      <c r="AD29" s="71"/>
      <c r="AE29" s="72">
        <f>$G$2*AD30</f>
        <v>147.98168925106248</v>
      </c>
    </row>
    <row r="30" spans="1:31" x14ac:dyDescent="0.2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2">
        <f>$G$2*O31</f>
        <v>144.40092718770094</v>
      </c>
      <c r="Q30" s="71"/>
      <c r="R30" s="72">
        <f>$G$2*Q31</f>
        <v>144.40092718770094</v>
      </c>
      <c r="S30" s="71"/>
      <c r="T30" s="72">
        <f>$G$2*S31</f>
        <v>144.40092718770094</v>
      </c>
      <c r="U30" s="71"/>
      <c r="V30" s="72">
        <f>$G$2*U31</f>
        <v>144.40092718770097</v>
      </c>
      <c r="W30" s="71"/>
      <c r="X30" s="72">
        <f>$G$2*W31</f>
        <v>144.40092718770097</v>
      </c>
      <c r="Y30" s="71"/>
      <c r="Z30" s="72">
        <f>$G$2*Y31</f>
        <v>144.40092718770097</v>
      </c>
      <c r="AA30" s="71"/>
      <c r="AB30" s="72">
        <f>$G$2*AA31</f>
        <v>144.40092718770097</v>
      </c>
      <c r="AC30" s="71"/>
      <c r="AD30" s="72">
        <f>$G$2*AC31</f>
        <v>144.40092718770097</v>
      </c>
      <c r="AE30" s="71"/>
    </row>
    <row r="31" spans="1:31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2">
        <f>$G$2*N32</f>
        <v>140.90681001276653</v>
      </c>
      <c r="P31" s="71"/>
      <c r="Q31" s="72">
        <f>$G$2*P32</f>
        <v>140.90681001276653</v>
      </c>
      <c r="R31" s="71"/>
      <c r="S31" s="72">
        <f>$G$2*R32</f>
        <v>140.90681001276653</v>
      </c>
      <c r="T31" s="71"/>
      <c r="U31" s="72">
        <f>$G$2*T32</f>
        <v>140.90681001276656</v>
      </c>
      <c r="V31" s="71"/>
      <c r="W31" s="72">
        <f>$G$2*V32</f>
        <v>140.90681001276656</v>
      </c>
      <c r="X31" s="71"/>
      <c r="Y31" s="72">
        <f>$G$2*X32</f>
        <v>140.90681001276656</v>
      </c>
      <c r="Z31" s="71"/>
      <c r="AA31" s="72">
        <f>$G$2*Z32</f>
        <v>140.90681001276656</v>
      </c>
      <c r="AB31" s="71"/>
      <c r="AC31" s="72">
        <f>$G$2*AB32</f>
        <v>140.90681001276656</v>
      </c>
      <c r="AD31" s="71"/>
      <c r="AE31" s="72">
        <f>$G$2*AD32</f>
        <v>140.90681001276656</v>
      </c>
    </row>
    <row r="32" spans="1:31" x14ac:dyDescent="0.2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2">
        <f>$G$2*M33</f>
        <v>137.49724115112861</v>
      </c>
      <c r="O32" s="71"/>
      <c r="P32" s="72">
        <f>$G$2*O33</f>
        <v>137.49724115112861</v>
      </c>
      <c r="Q32" s="71"/>
      <c r="R32" s="72">
        <f>$G$2*Q33</f>
        <v>137.49724115112861</v>
      </c>
      <c r="S32" s="71"/>
      <c r="T32" s="72">
        <f>$G$2*S33</f>
        <v>137.49724115112863</v>
      </c>
      <c r="U32" s="71"/>
      <c r="V32" s="72">
        <f>$G$2*U33</f>
        <v>137.49724115112863</v>
      </c>
      <c r="W32" s="71"/>
      <c r="X32" s="72">
        <f>$G$2*W33</f>
        <v>137.49724115112863</v>
      </c>
      <c r="Y32" s="71"/>
      <c r="Z32" s="72">
        <f>$G$2*Y33</f>
        <v>137.49724115112863</v>
      </c>
      <c r="AA32" s="71"/>
      <c r="AB32" s="72">
        <f>$G$2*AA33</f>
        <v>137.49724115112863</v>
      </c>
      <c r="AC32" s="71"/>
      <c r="AD32" s="72">
        <f>$G$2*AC33</f>
        <v>137.49724115112863</v>
      </c>
      <c r="AE32" s="71"/>
    </row>
    <row r="33" spans="1:31" x14ac:dyDescent="0.25">
      <c r="M33" s="72">
        <f>$G$2*L34</f>
        <v>134.17017475918109</v>
      </c>
      <c r="O33" s="72">
        <f>$G$2*N34</f>
        <v>134.17017475918109</v>
      </c>
      <c r="P33" s="71"/>
      <c r="Q33" s="72">
        <f>$G$2*P34</f>
        <v>134.17017475918109</v>
      </c>
      <c r="R33" s="71"/>
      <c r="S33" s="72">
        <f>$G$2*R34</f>
        <v>134.17017475918112</v>
      </c>
      <c r="T33" s="71"/>
      <c r="U33" s="72">
        <f>$G$2*T34</f>
        <v>134.17017475918112</v>
      </c>
      <c r="V33" s="71"/>
      <c r="W33" s="72">
        <f>$G$2*V34</f>
        <v>134.17017475918112</v>
      </c>
      <c r="X33" s="71"/>
      <c r="Y33" s="72">
        <f>$G$2*X34</f>
        <v>134.17017475918112</v>
      </c>
      <c r="Z33" s="71"/>
      <c r="AA33" s="72">
        <f>$G$2*Z34</f>
        <v>134.17017475918112</v>
      </c>
      <c r="AB33" s="71"/>
      <c r="AC33" s="72">
        <f>$G$2*AB34</f>
        <v>134.17017475918112</v>
      </c>
      <c r="AD33" s="71"/>
      <c r="AE33" s="72">
        <f>$G$2*AD34</f>
        <v>134.17017475918112</v>
      </c>
    </row>
    <row r="34" spans="1:31" x14ac:dyDescent="0.25">
      <c r="L34" s="72">
        <f>$G$2*K35</f>
        <v>130.92361449727485</v>
      </c>
      <c r="N34" s="72">
        <f>$G$2*M35</f>
        <v>130.92361449727485</v>
      </c>
      <c r="O34" s="71"/>
      <c r="P34" s="72">
        <f>$G$2*O35</f>
        <v>130.92361449727485</v>
      </c>
      <c r="Q34" s="71"/>
      <c r="R34" s="72">
        <f>$G$2*Q35</f>
        <v>130.92361449727488</v>
      </c>
      <c r="S34" s="71"/>
      <c r="T34" s="72">
        <f>$G$2*S35</f>
        <v>130.92361449727488</v>
      </c>
      <c r="U34" s="71"/>
      <c r="V34" s="72">
        <f>$G$2*U35</f>
        <v>130.92361449727488</v>
      </c>
      <c r="W34" s="71"/>
      <c r="X34" s="72">
        <f>$G$2*W35</f>
        <v>130.92361449727488</v>
      </c>
      <c r="Y34" s="71"/>
      <c r="Z34" s="72">
        <f>$G$2*Y35</f>
        <v>130.92361449727488</v>
      </c>
      <c r="AA34" s="71"/>
      <c r="AB34" s="72">
        <f>$G$2*AA35</f>
        <v>130.92361449727488</v>
      </c>
      <c r="AC34" s="71"/>
      <c r="AD34" s="72">
        <f>$G$2*AC35</f>
        <v>130.92361449727488</v>
      </c>
      <c r="AE34" s="71"/>
    </row>
    <row r="35" spans="1:31" x14ac:dyDescent="0.25">
      <c r="A35" s="73"/>
      <c r="K35" s="72">
        <f>$G$2*J36</f>
        <v>127.75561233185397</v>
      </c>
      <c r="M35" s="72">
        <f>$G$2*L36</f>
        <v>127.75561233185397</v>
      </c>
      <c r="N35" s="71"/>
      <c r="O35" s="72">
        <f>$G$2*N36</f>
        <v>127.75561233185397</v>
      </c>
      <c r="P35" s="71"/>
      <c r="Q35" s="72">
        <f>$G$2*P36</f>
        <v>127.75561233185398</v>
      </c>
      <c r="R35" s="71"/>
      <c r="S35" s="72">
        <f>$G$2*R36</f>
        <v>127.75561233185398</v>
      </c>
      <c r="T35" s="71"/>
      <c r="U35" s="72">
        <f>$G$2*T36</f>
        <v>127.75561233185398</v>
      </c>
      <c r="V35" s="71"/>
      <c r="W35" s="72">
        <f>$G$2*V36</f>
        <v>127.75561233185398</v>
      </c>
      <c r="X35" s="71"/>
      <c r="Y35" s="72">
        <f>$G$2*X36</f>
        <v>127.75561233185398</v>
      </c>
      <c r="Z35" s="71"/>
      <c r="AA35" s="72">
        <f>$G$2*Z36</f>
        <v>127.75561233185398</v>
      </c>
      <c r="AB35" s="71"/>
      <c r="AC35" s="72">
        <f>$G$2*AB36</f>
        <v>127.75561233185398</v>
      </c>
      <c r="AD35" s="71"/>
      <c r="AE35" s="72">
        <f>$G$2*AD36</f>
        <v>127.75561233185398</v>
      </c>
    </row>
    <row r="36" spans="1:31" x14ac:dyDescent="0.25">
      <c r="A36" s="73"/>
      <c r="J36" s="72">
        <f>$G$2*I37</f>
        <v>124.66426736657722</v>
      </c>
      <c r="L36" s="72">
        <f>$G$2*K37</f>
        <v>124.66426736657722</v>
      </c>
      <c r="M36" s="71"/>
      <c r="N36" s="72">
        <f>$G$2*M37</f>
        <v>124.66426736657722</v>
      </c>
      <c r="O36" s="71"/>
      <c r="P36" s="72">
        <f>$G$2*O37</f>
        <v>124.66426736657723</v>
      </c>
      <c r="Q36" s="71"/>
      <c r="R36" s="72">
        <f>$G$2*Q37</f>
        <v>124.66426736657723</v>
      </c>
      <c r="S36" s="71"/>
      <c r="T36" s="72">
        <f>$G$2*S37</f>
        <v>124.66426736657723</v>
      </c>
      <c r="U36" s="71"/>
      <c r="V36" s="72">
        <f>$G$2*U37</f>
        <v>124.66426736657723</v>
      </c>
      <c r="W36" s="71"/>
      <c r="X36" s="72">
        <f>$G$2*W37</f>
        <v>124.66426736657723</v>
      </c>
      <c r="Y36" s="71"/>
      <c r="Z36" s="72">
        <f>$G$2*Y37</f>
        <v>124.66426736657723</v>
      </c>
      <c r="AA36" s="71"/>
      <c r="AB36" s="72">
        <f>$G$2*AA37</f>
        <v>124.66426736657723</v>
      </c>
      <c r="AD36" s="72">
        <f>$G$2*AC37</f>
        <v>124.66426736657723</v>
      </c>
    </row>
    <row r="37" spans="1:31" x14ac:dyDescent="0.25">
      <c r="A37" s="73"/>
      <c r="I37" s="72">
        <f>$G$2*H38</f>
        <v>121.64772470172323</v>
      </c>
      <c r="K37" s="72">
        <f>$G$2*J38</f>
        <v>121.64772470172323</v>
      </c>
      <c r="L37" s="71"/>
      <c r="M37" s="72">
        <f>$G$2*L38</f>
        <v>121.64772470172323</v>
      </c>
      <c r="N37" s="71"/>
      <c r="O37" s="72">
        <f>$G$2*N38</f>
        <v>121.64772470172325</v>
      </c>
      <c r="P37" s="71"/>
      <c r="Q37" s="72">
        <f>$G$2*P38</f>
        <v>121.64772470172325</v>
      </c>
      <c r="R37" s="71"/>
      <c r="S37" s="72">
        <f>$G$2*R38</f>
        <v>121.64772470172325</v>
      </c>
      <c r="T37" s="71"/>
      <c r="U37" s="72">
        <f>$G$2*T38</f>
        <v>121.64772470172325</v>
      </c>
      <c r="V37" s="71"/>
      <c r="W37" s="72">
        <f>$G$2*V38</f>
        <v>121.64772470172325</v>
      </c>
      <c r="X37" s="71"/>
      <c r="Y37" s="72">
        <f>$G$2*X38</f>
        <v>121.64772470172325</v>
      </c>
      <c r="Z37" s="71"/>
      <c r="AA37" s="72">
        <f>$G$2*Z38</f>
        <v>121.64772470172325</v>
      </c>
      <c r="AC37" s="72">
        <f>$G$2*AB38</f>
        <v>121.64772470172325</v>
      </c>
      <c r="AE37" s="72">
        <f>$G$2*AD38</f>
        <v>121.64772470172325</v>
      </c>
    </row>
    <row r="38" spans="1:31" x14ac:dyDescent="0.25">
      <c r="A38" s="73"/>
      <c r="H38" s="72">
        <f>$G$2*G39</f>
        <v>118.70417432119501</v>
      </c>
      <c r="J38" s="72">
        <f>$G$2*I39</f>
        <v>118.70417432119501</v>
      </c>
      <c r="K38" s="71"/>
      <c r="L38" s="72">
        <f>$G$2*K39</f>
        <v>118.70417432119501</v>
      </c>
      <c r="M38" s="71"/>
      <c r="N38" s="72">
        <f>$G$2*M39</f>
        <v>118.70417432119503</v>
      </c>
      <c r="O38" s="71"/>
      <c r="P38" s="72">
        <f>$G$2*O39</f>
        <v>118.70417432119503</v>
      </c>
      <c r="Q38" s="71"/>
      <c r="R38" s="72">
        <f>$G$2*Q39</f>
        <v>118.70417432119503</v>
      </c>
      <c r="S38" s="71"/>
      <c r="T38" s="72">
        <f>$G$2*S39</f>
        <v>118.70417432119503</v>
      </c>
      <c r="U38" s="71"/>
      <c r="V38" s="72">
        <f>$G$2*U39</f>
        <v>118.70417432119503</v>
      </c>
      <c r="W38" s="71"/>
      <c r="X38" s="72">
        <f>$G$2*W39</f>
        <v>118.70417432119503</v>
      </c>
      <c r="Y38" s="71"/>
      <c r="Z38" s="72">
        <f>$G$2*Y39</f>
        <v>118.70417432119503</v>
      </c>
      <c r="AB38" s="72">
        <f>$G$2*AA39</f>
        <v>118.70417432119503</v>
      </c>
      <c r="AC38" s="71"/>
      <c r="AD38" s="72">
        <f>$G$2*AC39</f>
        <v>118.70417432119503</v>
      </c>
      <c r="AE38" s="71"/>
    </row>
    <row r="39" spans="1:31" x14ac:dyDescent="0.25">
      <c r="A39" s="73"/>
      <c r="G39" s="72">
        <f>$G$2*F40</f>
        <v>115.83185000645597</v>
      </c>
      <c r="I39" s="72">
        <f>$G$2*H40</f>
        <v>115.83185000645597</v>
      </c>
      <c r="J39" s="71"/>
      <c r="K39" s="72">
        <f>$G$2*J40</f>
        <v>115.83185000645597</v>
      </c>
      <c r="L39" s="71"/>
      <c r="M39" s="72">
        <f>$G$2*L40</f>
        <v>115.83185000645598</v>
      </c>
      <c r="N39" s="71"/>
      <c r="O39" s="72">
        <f>$G$2*N40</f>
        <v>115.83185000645598</v>
      </c>
      <c r="P39" s="71"/>
      <c r="Q39" s="72">
        <f>$G$2*P40</f>
        <v>115.83185000645598</v>
      </c>
      <c r="R39" s="71"/>
      <c r="S39" s="72">
        <f>$G$2*R40</f>
        <v>115.83185000645598</v>
      </c>
      <c r="T39" s="71"/>
      <c r="U39" s="72">
        <f>$G$2*T40</f>
        <v>115.83185000645598</v>
      </c>
      <c r="V39" s="71"/>
      <c r="W39" s="72">
        <f>$G$2*V40</f>
        <v>115.83185000645598</v>
      </c>
      <c r="X39" s="71"/>
      <c r="Y39" s="72">
        <f>$G$2*X40</f>
        <v>115.83185000645598</v>
      </c>
      <c r="AA39" s="72">
        <f>$G$2*Z40</f>
        <v>115.83185000645598</v>
      </c>
      <c r="AB39" s="71"/>
      <c r="AC39" s="72">
        <f>$G$2*AB40</f>
        <v>115.83185000645598</v>
      </c>
      <c r="AD39" s="71"/>
      <c r="AE39" s="72">
        <f>$G$2*AD40</f>
        <v>115.83185000645598</v>
      </c>
    </row>
    <row r="40" spans="1:31" x14ac:dyDescent="0.25">
      <c r="A40" s="73"/>
      <c r="F40" s="72">
        <f>$G$2*E41</f>
        <v>113.02902827674579</v>
      </c>
      <c r="H40" s="72">
        <f>$G$2*G41</f>
        <v>113.02902827674579</v>
      </c>
      <c r="I40" s="71"/>
      <c r="J40" s="72">
        <f>$G$2*I41</f>
        <v>113.02902827674579</v>
      </c>
      <c r="K40" s="71"/>
      <c r="L40" s="72">
        <f>$G$2*K41</f>
        <v>113.02902827674581</v>
      </c>
      <c r="M40" s="71"/>
      <c r="N40" s="72">
        <f>$G$2*M41</f>
        <v>113.02902827674581</v>
      </c>
      <c r="O40" s="71"/>
      <c r="P40" s="72">
        <f>$G$2*O41</f>
        <v>113.02902827674581</v>
      </c>
      <c r="Q40" s="71"/>
      <c r="R40" s="72">
        <f>$G$2*Q41</f>
        <v>113.02902827674581</v>
      </c>
      <c r="S40" s="71"/>
      <c r="T40" s="72">
        <f>$G$2*S41</f>
        <v>113.02902827674581</v>
      </c>
      <c r="U40" s="71"/>
      <c r="V40" s="72">
        <f>$G$2*U41</f>
        <v>113.02902827674581</v>
      </c>
      <c r="W40" s="71"/>
      <c r="X40" s="72">
        <f>$G$2*W41</f>
        <v>113.02902827674581</v>
      </c>
      <c r="Z40" s="72">
        <f>$G$2*Y41</f>
        <v>113.02902827674581</v>
      </c>
      <c r="AA40" s="71"/>
      <c r="AB40" s="72">
        <f>$G$2*AA41</f>
        <v>113.02902827674581</v>
      </c>
      <c r="AC40" s="71"/>
      <c r="AD40" s="72">
        <f>$G$2*AC41</f>
        <v>113.02902827674581</v>
      </c>
      <c r="AE40" s="71"/>
    </row>
    <row r="41" spans="1:31" x14ac:dyDescent="0.25">
      <c r="A41" s="73"/>
      <c r="E41" s="72">
        <f>$G$2*D42</f>
        <v>110.29402735494033</v>
      </c>
      <c r="G41" s="72">
        <f>$G$2*F42</f>
        <v>110.29402735494033</v>
      </c>
      <c r="H41" s="71"/>
      <c r="I41" s="72">
        <f>$G$2*H42</f>
        <v>110.29402735494033</v>
      </c>
      <c r="J41" s="71"/>
      <c r="K41" s="72">
        <f>$G$2*J42</f>
        <v>110.29402735494034</v>
      </c>
      <c r="L41" s="71"/>
      <c r="M41" s="72">
        <f>$G$2*L42</f>
        <v>110.29402735494034</v>
      </c>
      <c r="N41" s="71"/>
      <c r="O41" s="72">
        <f>$G$2*N42</f>
        <v>110.29402735494034</v>
      </c>
      <c r="P41" s="71"/>
      <c r="Q41" s="72">
        <f>$G$2*P42</f>
        <v>110.29402735494034</v>
      </c>
      <c r="R41" s="71"/>
      <c r="S41" s="72">
        <f>$G$2*R42</f>
        <v>110.29402735494034</v>
      </c>
      <c r="T41" s="71"/>
      <c r="U41" s="72">
        <f>$G$2*T42</f>
        <v>110.29402735494034</v>
      </c>
      <c r="V41" s="71"/>
      <c r="W41" s="72">
        <f>$G$2*V42</f>
        <v>110.29402735494034</v>
      </c>
      <c r="Y41" s="72">
        <f>$G$2*X42</f>
        <v>110.29402735494034</v>
      </c>
      <c r="Z41" s="71"/>
      <c r="AA41" s="72">
        <f>$G$2*Z42</f>
        <v>110.29402735494034</v>
      </c>
      <c r="AB41" s="71"/>
      <c r="AC41" s="72">
        <f>$G$2*AB42</f>
        <v>110.29402735494034</v>
      </c>
      <c r="AD41" s="71"/>
      <c r="AE41" s="72">
        <f>$G$2*AD42</f>
        <v>110.29402735494034</v>
      </c>
    </row>
    <row r="42" spans="1:31" x14ac:dyDescent="0.25">
      <c r="A42" s="73"/>
      <c r="D42" s="72">
        <f>$G$2*C43</f>
        <v>107.62520615843482</v>
      </c>
      <c r="F42" s="72">
        <f>$G$2*E43</f>
        <v>107.62520615843482</v>
      </c>
      <c r="G42" s="71"/>
      <c r="H42" s="72">
        <f>$G$2*G43</f>
        <v>107.62520615843482</v>
      </c>
      <c r="I42" s="71"/>
      <c r="J42" s="72">
        <f>$G$2*I43</f>
        <v>107.62520615843484</v>
      </c>
      <c r="K42" s="71"/>
      <c r="L42" s="72">
        <f>$G$2*K43</f>
        <v>107.62520615843484</v>
      </c>
      <c r="M42" s="71"/>
      <c r="N42" s="72">
        <f>$G$2*M43</f>
        <v>107.62520615843484</v>
      </c>
      <c r="O42" s="71"/>
      <c r="P42" s="72">
        <f>$G$2*O43</f>
        <v>107.62520615843484</v>
      </c>
      <c r="Q42" s="71"/>
      <c r="R42" s="72">
        <f>$G$2*Q43</f>
        <v>107.62520615843484</v>
      </c>
      <c r="S42" s="71"/>
      <c r="T42" s="72">
        <f>$G$2*S43</f>
        <v>107.62520615843484</v>
      </c>
      <c r="U42" s="71"/>
      <c r="V42" s="72">
        <f>$G$2*U43</f>
        <v>107.62520615843484</v>
      </c>
      <c r="X42" s="72">
        <f>$G$2*W43</f>
        <v>107.62520615843484</v>
      </c>
      <c r="Y42" s="71"/>
      <c r="Z42" s="72">
        <f>$G$2*Y43</f>
        <v>107.62520615843484</v>
      </c>
      <c r="AA42" s="71"/>
      <c r="AB42" s="72">
        <f>$G$2*AA43</f>
        <v>107.62520615843484</v>
      </c>
      <c r="AC42" s="71"/>
      <c r="AD42" s="72">
        <f>$G$2*AC43</f>
        <v>107.62520615843484</v>
      </c>
      <c r="AE42" s="71"/>
    </row>
    <row r="43" spans="1:31" x14ac:dyDescent="0.25">
      <c r="A43" s="73"/>
      <c r="C43" s="72">
        <f>$G$2*B44</f>
        <v>105.02096331444514</v>
      </c>
      <c r="E43" s="72">
        <f>$G$2*D44</f>
        <v>105.02096331444514</v>
      </c>
      <c r="F43" s="71"/>
      <c r="G43" s="72">
        <f>$G$2*F44</f>
        <v>105.02096331444514</v>
      </c>
      <c r="H43" s="71"/>
      <c r="I43" s="72">
        <f>$G$2*H44</f>
        <v>105.02096331444515</v>
      </c>
      <c r="J43" s="71"/>
      <c r="K43" s="72">
        <f>$G$2*J44</f>
        <v>105.02096331444515</v>
      </c>
      <c r="L43" s="71"/>
      <c r="M43" s="72">
        <f>$G$2*L44</f>
        <v>105.02096331444515</v>
      </c>
      <c r="N43" s="71"/>
      <c r="O43" s="72">
        <f>$G$2*N44</f>
        <v>105.02096331444515</v>
      </c>
      <c r="P43" s="71"/>
      <c r="Q43" s="72">
        <f>$G$2*P44</f>
        <v>105.02096331444515</v>
      </c>
      <c r="R43" s="71"/>
      <c r="S43" s="72">
        <f>$G$2*R44</f>
        <v>105.02096331444515</v>
      </c>
      <c r="T43" s="71"/>
      <c r="U43" s="72">
        <f>$G$2*T44</f>
        <v>105.02096331444515</v>
      </c>
      <c r="W43" s="72">
        <f>$G$2*V44</f>
        <v>105.02096331444515</v>
      </c>
      <c r="X43" s="71"/>
      <c r="Y43" s="72">
        <f>$G$2*X44</f>
        <v>105.02096331444515</v>
      </c>
      <c r="Z43" s="71"/>
      <c r="AA43" s="72">
        <f>$G$2*Z44</f>
        <v>105.02096331444515</v>
      </c>
      <c r="AB43" s="71"/>
      <c r="AC43" s="72">
        <f>$G$2*AB44</f>
        <v>105.02096331444515</v>
      </c>
      <c r="AD43" s="71"/>
      <c r="AE43" s="72">
        <f>$G$2*AD44</f>
        <v>105.02096331444515</v>
      </c>
    </row>
    <row r="44" spans="1:31" x14ac:dyDescent="0.25">
      <c r="A44" s="73"/>
      <c r="B44" s="72">
        <f>$G$2*A45</f>
        <v>102.47973619913604</v>
      </c>
      <c r="D44" s="72">
        <f>$G$2*C45</f>
        <v>102.47973619913604</v>
      </c>
      <c r="E44" s="71"/>
      <c r="F44" s="72">
        <f>$G$2*E45</f>
        <v>102.47973619913604</v>
      </c>
      <c r="G44" s="71"/>
      <c r="H44" s="72">
        <f>$G$2*G45</f>
        <v>102.47973619913606</v>
      </c>
      <c r="I44" s="71"/>
      <c r="J44" s="72">
        <f>$G$2*I45</f>
        <v>102.47973619913606</v>
      </c>
      <c r="K44" s="71"/>
      <c r="L44" s="72">
        <f>$G$2*K45</f>
        <v>102.47973619913606</v>
      </c>
      <c r="M44" s="71"/>
      <c r="N44" s="72">
        <f>$G$2*M45</f>
        <v>102.47973619913606</v>
      </c>
      <c r="O44" s="71"/>
      <c r="P44" s="72">
        <f>$G$2*O45</f>
        <v>102.47973619913606</v>
      </c>
      <c r="Q44" s="71"/>
      <c r="R44" s="72">
        <f>$G$2*Q45</f>
        <v>102.47973619913606</v>
      </c>
      <c r="S44" s="71"/>
      <c r="T44" s="72">
        <f>$G$2*S45</f>
        <v>102.47973619913606</v>
      </c>
      <c r="V44" s="72">
        <f>$G$2*U45</f>
        <v>102.47973619913606</v>
      </c>
      <c r="W44" s="71"/>
      <c r="X44" s="72">
        <f>$G$2*W45</f>
        <v>102.47973619913606</v>
      </c>
      <c r="Y44" s="71"/>
      <c r="Z44" s="72">
        <f>$G$2*Y45</f>
        <v>102.47973619913606</v>
      </c>
      <c r="AA44" s="71"/>
      <c r="AB44" s="72">
        <f>$G$2*AA45</f>
        <v>102.47973619913606</v>
      </c>
      <c r="AC44" s="71"/>
      <c r="AD44" s="72">
        <f>$G$2*AC45</f>
        <v>102.47973619913606</v>
      </c>
      <c r="AE44" s="71"/>
    </row>
    <row r="45" spans="1:31" x14ac:dyDescent="0.25">
      <c r="A45" s="73">
        <f>B1</f>
        <v>100</v>
      </c>
      <c r="C45" s="72">
        <f>$G$2*B46</f>
        <v>100</v>
      </c>
      <c r="E45" s="72">
        <f>$G$2*D46</f>
        <v>100</v>
      </c>
      <c r="F45" s="71"/>
      <c r="G45" s="72">
        <f>$G$2*F46</f>
        <v>100.00000000000001</v>
      </c>
      <c r="H45" s="71"/>
      <c r="I45" s="72">
        <f>$G$2*H46</f>
        <v>100.00000000000001</v>
      </c>
      <c r="J45" s="71"/>
      <c r="K45" s="72">
        <f>$G$2*J46</f>
        <v>100.00000000000001</v>
      </c>
      <c r="L45" s="71"/>
      <c r="M45" s="72">
        <f>$G$2*L46</f>
        <v>100.00000000000001</v>
      </c>
      <c r="N45" s="71"/>
      <c r="O45" s="72">
        <f>$G$2*N46</f>
        <v>100.00000000000001</v>
      </c>
      <c r="P45" s="71"/>
      <c r="Q45" s="72">
        <f>$G$2*P46</f>
        <v>100.00000000000001</v>
      </c>
      <c r="R45" s="71"/>
      <c r="S45" s="72">
        <f>$G$2*R46</f>
        <v>100.00000000000001</v>
      </c>
      <c r="U45" s="72">
        <f>$G$2*T46</f>
        <v>100.00000000000001</v>
      </c>
      <c r="V45" s="71"/>
      <c r="W45" s="72">
        <f>$G$2*V46</f>
        <v>100.00000000000001</v>
      </c>
      <c r="X45" s="71"/>
      <c r="Y45" s="72">
        <f>$G$2*X46</f>
        <v>100.00000000000001</v>
      </c>
      <c r="Z45" s="71"/>
      <c r="AA45" s="72">
        <f>$G$2*Z46</f>
        <v>100.00000000000001</v>
      </c>
      <c r="AB45" s="71"/>
      <c r="AC45" s="72">
        <f>$G$2*AB46</f>
        <v>100.00000000000001</v>
      </c>
      <c r="AD45" s="71"/>
      <c r="AE45" s="72">
        <f>$G$2*AD46</f>
        <v>100.00000000000001</v>
      </c>
    </row>
    <row r="46" spans="1:31" x14ac:dyDescent="0.25">
      <c r="A46" s="73"/>
      <c r="B46" s="56">
        <f>A45*$G$3</f>
        <v>97.580266800923965</v>
      </c>
      <c r="D46" s="72">
        <f>$G$2*C47</f>
        <v>97.580266800923965</v>
      </c>
      <c r="E46" s="71"/>
      <c r="F46" s="72">
        <f>$G$2*E47</f>
        <v>97.58026680092398</v>
      </c>
      <c r="G46" s="71"/>
      <c r="H46" s="72">
        <f>$G$2*G47</f>
        <v>97.58026680092398</v>
      </c>
      <c r="I46" s="71"/>
      <c r="J46" s="72">
        <f>$G$2*I47</f>
        <v>97.58026680092398</v>
      </c>
      <c r="K46" s="71"/>
      <c r="L46" s="72">
        <f>$G$2*K47</f>
        <v>97.58026680092398</v>
      </c>
      <c r="M46" s="71"/>
      <c r="N46" s="72">
        <f>$G$2*M47</f>
        <v>97.58026680092398</v>
      </c>
      <c r="O46" s="71"/>
      <c r="P46" s="72">
        <f>$G$2*O47</f>
        <v>97.58026680092398</v>
      </c>
      <c r="Q46" s="71"/>
      <c r="R46" s="72">
        <f>$G$2*Q47</f>
        <v>97.58026680092398</v>
      </c>
      <c r="T46" s="72">
        <f>$G$2*S47</f>
        <v>97.58026680092398</v>
      </c>
      <c r="U46" s="71"/>
      <c r="V46" s="72">
        <f>$G$2*U47</f>
        <v>97.58026680092398</v>
      </c>
      <c r="W46" s="71"/>
      <c r="X46" s="72">
        <f>$G$2*W47</f>
        <v>97.58026680092398</v>
      </c>
      <c r="Y46" s="71"/>
      <c r="Z46" s="72">
        <f>$G$2*Y47</f>
        <v>97.58026680092398</v>
      </c>
      <c r="AA46" s="71"/>
      <c r="AB46" s="72">
        <f>$G$2*AA47</f>
        <v>97.58026680092398</v>
      </c>
      <c r="AD46" s="72">
        <f>$G$2*AC47</f>
        <v>97.58026680092398</v>
      </c>
    </row>
    <row r="47" spans="1:31" x14ac:dyDescent="0.25">
      <c r="A47" s="73"/>
      <c r="C47" s="56">
        <f>B46*$G$3</f>
        <v>95.219084689395032</v>
      </c>
      <c r="E47" s="72">
        <f>$G$2*D48</f>
        <v>95.219084689395046</v>
      </c>
      <c r="F47" s="71"/>
      <c r="G47" s="72">
        <f>$G$2*F48</f>
        <v>95.219084689395046</v>
      </c>
      <c r="H47" s="71"/>
      <c r="I47" s="72">
        <f>$G$2*H48</f>
        <v>95.219084689395046</v>
      </c>
      <c r="J47" s="71"/>
      <c r="K47" s="72">
        <f>$G$2*J48</f>
        <v>95.219084689395046</v>
      </c>
      <c r="L47" s="71"/>
      <c r="M47" s="72">
        <f>$G$2*L48</f>
        <v>95.219084689395046</v>
      </c>
      <c r="N47" s="71"/>
      <c r="O47" s="72">
        <f>$G$2*N48</f>
        <v>95.219084689395046</v>
      </c>
      <c r="P47" s="71"/>
      <c r="Q47" s="72">
        <f>$G$2*P48</f>
        <v>95.219084689395046</v>
      </c>
      <c r="S47" s="72">
        <f>$G$2*R48</f>
        <v>95.219084689395046</v>
      </c>
      <c r="T47" s="71"/>
      <c r="U47" s="72">
        <f>$G$2*T48</f>
        <v>95.219084689395046</v>
      </c>
      <c r="V47" s="71"/>
      <c r="W47" s="72">
        <f>$G$2*V48</f>
        <v>95.219084689395046</v>
      </c>
      <c r="X47" s="71"/>
      <c r="Y47" s="72">
        <f>$G$2*X48</f>
        <v>95.219084689395046</v>
      </c>
      <c r="Z47" s="71"/>
      <c r="AA47" s="72">
        <f>$G$2*Z48</f>
        <v>95.219084689395046</v>
      </c>
      <c r="AC47" s="72">
        <f>$G$2*AB48</f>
        <v>95.219084689395046</v>
      </c>
      <c r="AE47" s="72">
        <f>$G$2*AD48</f>
        <v>95.219084689395046</v>
      </c>
    </row>
    <row r="48" spans="1:31" x14ac:dyDescent="0.25">
      <c r="A48" s="73"/>
      <c r="D48" s="56">
        <f>C47*$G$3</f>
        <v>92.915036885309419</v>
      </c>
      <c r="E48" s="72"/>
      <c r="F48" s="72">
        <f>$G$2*E49</f>
        <v>92.915036885309419</v>
      </c>
      <c r="G48" s="71"/>
      <c r="H48" s="72">
        <f>$G$2*G49</f>
        <v>92.915036885309419</v>
      </c>
      <c r="I48" s="71"/>
      <c r="J48" s="72">
        <f>$G$2*I49</f>
        <v>92.915036885309419</v>
      </c>
      <c r="K48" s="71"/>
      <c r="L48" s="72">
        <f>$G$2*K49</f>
        <v>92.915036885309419</v>
      </c>
      <c r="M48" s="71"/>
      <c r="N48" s="72">
        <f>$G$2*M49</f>
        <v>92.915036885309419</v>
      </c>
      <c r="O48" s="71"/>
      <c r="P48" s="72">
        <f>$G$2*O49</f>
        <v>92.915036885309419</v>
      </c>
      <c r="R48" s="72">
        <f>$G$2*Q49</f>
        <v>92.915036885309419</v>
      </c>
      <c r="S48" s="71"/>
      <c r="T48" s="72">
        <f>$G$2*S49</f>
        <v>92.915036885309419</v>
      </c>
      <c r="U48" s="71"/>
      <c r="V48" s="72">
        <f>$G$2*U49</f>
        <v>92.915036885309419</v>
      </c>
      <c r="W48" s="71"/>
      <c r="X48" s="72">
        <f>$G$2*W49</f>
        <v>92.915036885309419</v>
      </c>
      <c r="Y48" s="71"/>
      <c r="Z48" s="72">
        <f>$G$2*Y49</f>
        <v>92.915036885309419</v>
      </c>
      <c r="AB48" s="72">
        <f>$G$2*AA49</f>
        <v>92.915036885309419</v>
      </c>
      <c r="AC48" s="71"/>
      <c r="AD48" s="72">
        <f>$G$2*AC49</f>
        <v>92.915036885309419</v>
      </c>
      <c r="AE48" s="71"/>
    </row>
    <row r="49" spans="5:31" x14ac:dyDescent="0.25">
      <c r="E49" s="56">
        <f>D48*$G$3</f>
        <v>90.666740890861846</v>
      </c>
      <c r="G49" s="72">
        <f>$G$2*F50</f>
        <v>90.666740890861846</v>
      </c>
      <c r="H49" s="71"/>
      <c r="I49" s="72">
        <f>$G$2*H50</f>
        <v>90.666740890861846</v>
      </c>
      <c r="J49" s="71"/>
      <c r="K49" s="72">
        <f>$G$2*J50</f>
        <v>90.666740890861846</v>
      </c>
      <c r="L49" s="71"/>
      <c r="M49" s="72">
        <f>$G$2*L50</f>
        <v>90.666740890861846</v>
      </c>
      <c r="N49" s="71"/>
      <c r="O49" s="72">
        <f>$G$2*N50</f>
        <v>90.666740890861846</v>
      </c>
      <c r="Q49" s="72">
        <f>$G$2*P50</f>
        <v>90.666740890861846</v>
      </c>
      <c r="R49" s="71"/>
      <c r="S49" s="72">
        <f>$G$2*R50</f>
        <v>90.666740890861846</v>
      </c>
      <c r="T49" s="71"/>
      <c r="U49" s="72">
        <f>$G$2*T50</f>
        <v>90.666740890861846</v>
      </c>
      <c r="V49" s="71"/>
      <c r="W49" s="72">
        <f>$G$2*V50</f>
        <v>90.666740890861846</v>
      </c>
      <c r="X49" s="71"/>
      <c r="Y49" s="72">
        <f>$G$2*X50</f>
        <v>90.666740890861846</v>
      </c>
      <c r="AA49" s="72">
        <f>$G$2*Z50</f>
        <v>90.666740890861846</v>
      </c>
      <c r="AB49" s="71"/>
      <c r="AC49" s="72">
        <f>$G$2*AB50</f>
        <v>90.666740890861846</v>
      </c>
      <c r="AD49" s="71"/>
      <c r="AE49" s="72">
        <f>$G$2*AD50</f>
        <v>90.666740890861846</v>
      </c>
    </row>
    <row r="50" spans="5:31" x14ac:dyDescent="0.25">
      <c r="E50" s="72"/>
      <c r="F50" s="56">
        <f>E49*$G$3</f>
        <v>88.472847661005417</v>
      </c>
      <c r="H50" s="72">
        <f>$G$2*G51</f>
        <v>88.472847661005417</v>
      </c>
      <c r="I50" s="71"/>
      <c r="J50" s="72">
        <f>$G$2*I51</f>
        <v>88.472847661005417</v>
      </c>
      <c r="K50" s="71"/>
      <c r="L50" s="72">
        <f>$G$2*K51</f>
        <v>88.472847661005417</v>
      </c>
      <c r="M50" s="71"/>
      <c r="N50" s="72">
        <f>$G$2*M51</f>
        <v>88.472847661005417</v>
      </c>
      <c r="P50" s="72">
        <f>$G$2*O51</f>
        <v>88.472847661005417</v>
      </c>
      <c r="Q50" s="71"/>
      <c r="R50" s="72">
        <f>$G$2*Q51</f>
        <v>88.472847661005417</v>
      </c>
      <c r="S50" s="71"/>
      <c r="T50" s="72">
        <f>$G$2*S51</f>
        <v>88.472847661005417</v>
      </c>
      <c r="U50" s="71"/>
      <c r="V50" s="72">
        <f>$G$2*U51</f>
        <v>88.472847661005417</v>
      </c>
      <c r="W50" s="71"/>
      <c r="X50" s="72">
        <f>$G$2*W51</f>
        <v>88.472847661005417</v>
      </c>
      <c r="Z50" s="72">
        <f>$G$2*Y51</f>
        <v>88.472847661005417</v>
      </c>
      <c r="AA50" s="71"/>
      <c r="AB50" s="72">
        <f>$G$2*AA51</f>
        <v>88.472847661005417</v>
      </c>
      <c r="AC50" s="71"/>
      <c r="AD50" s="72">
        <f>$G$2*AC51</f>
        <v>88.472847661005417</v>
      </c>
      <c r="AE50" s="71"/>
    </row>
    <row r="51" spans="5:31" x14ac:dyDescent="0.25">
      <c r="E51" s="72"/>
      <c r="G51" s="56">
        <f>F50*$G$3</f>
        <v>86.332040793984106</v>
      </c>
      <c r="I51" s="72">
        <f>$G$2*H52</f>
        <v>86.332040793984106</v>
      </c>
      <c r="J51" s="71"/>
      <c r="K51" s="72">
        <f>$G$2*J52</f>
        <v>86.332040793984106</v>
      </c>
      <c r="L51" s="71"/>
      <c r="M51" s="72">
        <f>$G$2*L52</f>
        <v>86.332040793984106</v>
      </c>
      <c r="O51" s="72">
        <f>$G$2*N52</f>
        <v>86.332040793984106</v>
      </c>
      <c r="P51" s="71"/>
      <c r="Q51" s="72">
        <f>$G$2*P52</f>
        <v>86.332040793984106</v>
      </c>
      <c r="R51" s="71"/>
      <c r="S51" s="72">
        <f>$G$2*R52</f>
        <v>86.332040793984106</v>
      </c>
      <c r="T51" s="71"/>
      <c r="U51" s="72">
        <f>$G$2*T52</f>
        <v>86.332040793984106</v>
      </c>
      <c r="V51" s="71"/>
      <c r="W51" s="72">
        <f>$G$2*V52</f>
        <v>86.332040793984106</v>
      </c>
      <c r="Y51" s="72">
        <f>$G$2*X52</f>
        <v>86.332040793984106</v>
      </c>
      <c r="Z51" s="71"/>
      <c r="AA51" s="72">
        <f>$G$2*Z52</f>
        <v>86.332040793984106</v>
      </c>
      <c r="AB51" s="71"/>
      <c r="AC51" s="72">
        <f>$G$2*AB52</f>
        <v>86.332040793984106</v>
      </c>
      <c r="AD51" s="71"/>
      <c r="AE51" s="72">
        <f>$G$2*AD52</f>
        <v>86.332040793984106</v>
      </c>
    </row>
    <row r="52" spans="5:31" x14ac:dyDescent="0.25">
      <c r="E52" s="72"/>
      <c r="H52" s="56">
        <f>G51*$G$3</f>
        <v>84.243035741452204</v>
      </c>
      <c r="J52" s="72">
        <f>$G$2*I53</f>
        <v>84.243035741452204</v>
      </c>
      <c r="K52" s="71"/>
      <c r="L52" s="72">
        <f>$G$2*K53</f>
        <v>84.243035741452204</v>
      </c>
      <c r="N52" s="72">
        <f>$G$2*M53</f>
        <v>84.243035741452204</v>
      </c>
      <c r="O52" s="71"/>
      <c r="P52" s="72">
        <f>$G$2*O53</f>
        <v>84.243035741452204</v>
      </c>
      <c r="Q52" s="71"/>
      <c r="R52" s="72">
        <f>$G$2*Q53</f>
        <v>84.243035741452204</v>
      </c>
      <c r="S52" s="71"/>
      <c r="T52" s="72">
        <f>$G$2*S53</f>
        <v>84.243035741452204</v>
      </c>
      <c r="U52" s="71"/>
      <c r="V52" s="72">
        <f>$G$2*U53</f>
        <v>84.243035741452204</v>
      </c>
      <c r="X52" s="72">
        <f>$G$2*W53</f>
        <v>84.243035741452204</v>
      </c>
      <c r="Y52" s="71"/>
      <c r="Z52" s="72">
        <f>$G$2*Y53</f>
        <v>84.243035741452204</v>
      </c>
      <c r="AA52" s="71"/>
      <c r="AB52" s="72">
        <f>$G$2*AA53</f>
        <v>84.243035741452204</v>
      </c>
      <c r="AC52" s="71"/>
      <c r="AD52" s="72">
        <f>$G$2*AC53</f>
        <v>84.243035741452204</v>
      </c>
      <c r="AE52" s="71"/>
    </row>
    <row r="53" spans="5:31" x14ac:dyDescent="0.25">
      <c r="E53" s="72"/>
      <c r="I53" s="56">
        <f>H52*$G$3</f>
        <v>82.204579037706793</v>
      </c>
      <c r="K53" s="72">
        <f>$G$2*J54</f>
        <v>82.204579037706793</v>
      </c>
      <c r="M53" s="72">
        <f>$G$2*L54</f>
        <v>82.204579037706793</v>
      </c>
      <c r="N53" s="71"/>
      <c r="O53" s="72">
        <f>$G$2*N54</f>
        <v>82.204579037706793</v>
      </c>
      <c r="P53" s="71"/>
      <c r="Q53" s="72">
        <f>$G$2*P54</f>
        <v>82.204579037706793</v>
      </c>
      <c r="R53" s="71"/>
      <c r="S53" s="72">
        <f>$G$2*R54</f>
        <v>82.204579037706793</v>
      </c>
      <c r="T53" s="71"/>
      <c r="U53" s="72">
        <f>$G$2*T54</f>
        <v>82.204579037706793</v>
      </c>
      <c r="W53" s="72">
        <f>$G$2*V54</f>
        <v>82.204579037706793</v>
      </c>
      <c r="X53" s="71"/>
      <c r="Y53" s="72">
        <f>$G$2*X54</f>
        <v>82.204579037706793</v>
      </c>
      <c r="Z53" s="71"/>
      <c r="AA53" s="72">
        <f>$G$2*Z54</f>
        <v>82.204579037706793</v>
      </c>
      <c r="AB53" s="71"/>
      <c r="AC53" s="72">
        <f>$G$2*AB54</f>
        <v>82.204579037706793</v>
      </c>
      <c r="AD53" s="71"/>
      <c r="AE53" s="72">
        <f>$G$2*AD54</f>
        <v>82.204579037706793</v>
      </c>
    </row>
    <row r="54" spans="5:31" x14ac:dyDescent="0.25">
      <c r="E54" s="72"/>
      <c r="J54" s="56">
        <f>I53*$G$3</f>
        <v>80.215447547570705</v>
      </c>
      <c r="L54" s="72">
        <f>$G$2*K55</f>
        <v>80.215447547570705</v>
      </c>
      <c r="M54" s="71"/>
      <c r="N54" s="72">
        <f>$G$2*M55</f>
        <v>80.215447547570705</v>
      </c>
      <c r="O54" s="71"/>
      <c r="P54" s="72">
        <f>$G$2*O55</f>
        <v>80.215447547570705</v>
      </c>
      <c r="Q54" s="71"/>
      <c r="R54" s="72">
        <f>$G$2*Q55</f>
        <v>80.215447547570705</v>
      </c>
      <c r="S54" s="71"/>
      <c r="T54" s="72">
        <f>$G$2*S55</f>
        <v>80.215447547570705</v>
      </c>
      <c r="V54" s="72">
        <f>$G$2*U55</f>
        <v>80.215447547570705</v>
      </c>
      <c r="W54" s="71"/>
      <c r="X54" s="72">
        <f>$G$2*W55</f>
        <v>80.215447547570705</v>
      </c>
      <c r="Y54" s="71"/>
      <c r="Z54" s="72">
        <f>$G$2*Y55</f>
        <v>80.215447547570705</v>
      </c>
      <c r="AA54" s="71"/>
      <c r="AB54" s="72">
        <f>$G$2*AA55</f>
        <v>80.215447547570705</v>
      </c>
      <c r="AC54" s="71"/>
      <c r="AD54" s="72">
        <f>$G$2*AC55</f>
        <v>80.215447547570705</v>
      </c>
      <c r="AE54" s="71"/>
    </row>
    <row r="55" spans="5:31" x14ac:dyDescent="0.25">
      <c r="E55" s="72"/>
      <c r="K55" s="56">
        <f>J54*$G$3</f>
        <v>78.274447732474712</v>
      </c>
      <c r="M55" s="72">
        <f>$G$2*L56</f>
        <v>78.274447732474712</v>
      </c>
      <c r="N55" s="71"/>
      <c r="O55" s="72">
        <f>$G$2*N56</f>
        <v>78.274447732474712</v>
      </c>
      <c r="P55" s="71"/>
      <c r="Q55" s="72">
        <f>$G$2*P56</f>
        <v>78.274447732474712</v>
      </c>
      <c r="R55" s="71"/>
      <c r="S55" s="72">
        <f>$G$2*R56</f>
        <v>78.274447732474712</v>
      </c>
      <c r="U55" s="72">
        <f>$G$2*T56</f>
        <v>78.274447732474712</v>
      </c>
      <c r="V55" s="71"/>
      <c r="W55" s="72">
        <f>$G$2*V56</f>
        <v>78.274447732474712</v>
      </c>
      <c r="X55" s="71"/>
      <c r="Y55" s="72">
        <f>$G$2*X56</f>
        <v>78.274447732474712</v>
      </c>
      <c r="Z55" s="71"/>
      <c r="AA55" s="72">
        <f>$G$2*Z56</f>
        <v>78.274447732474712</v>
      </c>
      <c r="AB55" s="71"/>
      <c r="AC55" s="72">
        <f>$G$2*AB56</f>
        <v>78.274447732474712</v>
      </c>
      <c r="AD55" s="71"/>
      <c r="AE55" s="72">
        <f>$G$2*AD56</f>
        <v>78.274447732474712</v>
      </c>
    </row>
    <row r="56" spans="5:31" x14ac:dyDescent="0.25">
      <c r="E56" s="72"/>
      <c r="L56" s="56">
        <f>K55*$G$3</f>
        <v>76.380414934298599</v>
      </c>
      <c r="N56" s="72">
        <f>$G$2*M57</f>
        <v>76.380414934298599</v>
      </c>
      <c r="O56" s="71"/>
      <c r="P56" s="72">
        <f>$G$2*O57</f>
        <v>76.380414934298599</v>
      </c>
      <c r="Q56" s="71"/>
      <c r="R56" s="72">
        <f>$G$2*Q57</f>
        <v>76.380414934298599</v>
      </c>
      <c r="T56" s="72">
        <f>$G$2*S57</f>
        <v>76.380414934298599</v>
      </c>
      <c r="U56" s="71"/>
      <c r="V56" s="72">
        <f>$G$2*U57</f>
        <v>76.380414934298599</v>
      </c>
      <c r="W56" s="71"/>
      <c r="X56" s="72">
        <f>$G$2*W57</f>
        <v>76.380414934298599</v>
      </c>
      <c r="Y56" s="71"/>
      <c r="Z56" s="72">
        <f>$G$2*Y57</f>
        <v>76.380414934298599</v>
      </c>
      <c r="AA56" s="71"/>
      <c r="AB56" s="72">
        <f>$G$2*AA57</f>
        <v>76.380414934298599</v>
      </c>
      <c r="AD56" s="72">
        <f>$G$2*AC57</f>
        <v>76.380414934298599</v>
      </c>
    </row>
    <row r="57" spans="5:31" x14ac:dyDescent="0.25">
      <c r="E57" s="72"/>
      <c r="M57" s="56">
        <f>L56*$G$3</f>
        <v>74.532212676541349</v>
      </c>
      <c r="O57" s="72">
        <f>$G$2*N58</f>
        <v>74.532212676541349</v>
      </c>
      <c r="P57" s="71"/>
      <c r="Q57" s="72">
        <f>$G$2*P58</f>
        <v>74.532212676541349</v>
      </c>
      <c r="S57" s="72">
        <f>$G$2*R58</f>
        <v>74.532212676541349</v>
      </c>
      <c r="T57" s="71"/>
      <c r="U57" s="72">
        <f>$G$2*T58</f>
        <v>74.532212676541349</v>
      </c>
      <c r="V57" s="71"/>
      <c r="W57" s="72">
        <f>$G$2*V58</f>
        <v>74.532212676541349</v>
      </c>
      <c r="X57" s="71"/>
      <c r="Y57" s="72">
        <f>$G$2*X58</f>
        <v>74.532212676541349</v>
      </c>
      <c r="Z57" s="71"/>
      <c r="AA57" s="72">
        <f>$G$2*Z58</f>
        <v>74.532212676541349</v>
      </c>
      <c r="AC57" s="72">
        <f>$G$2*AB58</f>
        <v>74.532212676541349</v>
      </c>
      <c r="AE57" s="72">
        <f>$G$2*AD58</f>
        <v>74.532212676541349</v>
      </c>
    </row>
    <row r="58" spans="5:31" x14ac:dyDescent="0.25">
      <c r="E58" s="72"/>
      <c r="N58" s="56">
        <f>M57*$G$3</f>
        <v>72.728731982401115</v>
      </c>
      <c r="P58" s="72">
        <f>$G$2*O59</f>
        <v>72.728731982401115</v>
      </c>
      <c r="R58" s="72">
        <f>$G$2*Q59</f>
        <v>72.728731982401115</v>
      </c>
      <c r="S58" s="71"/>
      <c r="T58" s="72">
        <f>$G$2*S59</f>
        <v>72.728731982401115</v>
      </c>
      <c r="U58" s="71"/>
      <c r="V58" s="72">
        <f>$G$2*U59</f>
        <v>72.728731982401115</v>
      </c>
      <c r="W58" s="71"/>
      <c r="X58" s="72">
        <f>$G$2*W59</f>
        <v>72.728731982401115</v>
      </c>
      <c r="Y58" s="71"/>
      <c r="Z58" s="72">
        <f>$G$2*Y59</f>
        <v>72.728731982401115</v>
      </c>
      <c r="AB58" s="72">
        <f>$G$2*AA59</f>
        <v>72.728731982401115</v>
      </c>
      <c r="AC58" s="71"/>
      <c r="AD58" s="72">
        <f>$G$2*AC59</f>
        <v>72.728731982401115</v>
      </c>
      <c r="AE58" s="71"/>
    </row>
    <row r="59" spans="5:31" x14ac:dyDescent="0.25">
      <c r="E59" s="72"/>
      <c r="O59" s="56">
        <f>N58*$G$3</f>
        <v>70.968890709355918</v>
      </c>
      <c r="Q59" s="72">
        <f>$G$2*P60</f>
        <v>70.968890709355918</v>
      </c>
      <c r="R59" s="71"/>
      <c r="S59" s="72">
        <f>$G$2*R60</f>
        <v>70.968890709355918</v>
      </c>
      <c r="T59" s="71"/>
      <c r="U59" s="72">
        <f>$G$2*T60</f>
        <v>70.968890709355918</v>
      </c>
      <c r="V59" s="71"/>
      <c r="W59" s="72">
        <f>$G$2*V60</f>
        <v>70.968890709355918</v>
      </c>
      <c r="X59" s="71"/>
      <c r="Y59" s="72">
        <f>$G$2*X60</f>
        <v>70.968890709355918</v>
      </c>
      <c r="AA59" s="72">
        <f>$G$2*Z60</f>
        <v>70.968890709355918</v>
      </c>
      <c r="AB59" s="71"/>
      <c r="AC59" s="72">
        <f>$G$2*AB60</f>
        <v>70.968890709355918</v>
      </c>
      <c r="AD59" s="71"/>
      <c r="AE59" s="72">
        <f>$G$2*AD60</f>
        <v>70.968890709355918</v>
      </c>
    </row>
    <row r="60" spans="5:31" x14ac:dyDescent="0.25">
      <c r="E60" s="72"/>
      <c r="P60" s="56">
        <f>O59*$G$3</f>
        <v>69.251632899845646</v>
      </c>
      <c r="R60" s="72">
        <f>$G$2*Q61</f>
        <v>69.251632899845646</v>
      </c>
      <c r="S60" s="71"/>
      <c r="T60" s="72">
        <f>$G$2*S61</f>
        <v>69.251632899845646</v>
      </c>
      <c r="U60" s="71"/>
      <c r="V60" s="72">
        <f>$G$2*U61</f>
        <v>69.251632899845646</v>
      </c>
      <c r="W60" s="71"/>
      <c r="X60" s="72">
        <f>$G$2*W61</f>
        <v>69.251632899845646</v>
      </c>
      <c r="Z60" s="72">
        <f>$G$2*Y61</f>
        <v>69.251632899845646</v>
      </c>
      <c r="AA60" s="71"/>
      <c r="AB60" s="72">
        <f>$G$2*AA61</f>
        <v>69.251632899845646</v>
      </c>
      <c r="AC60" s="71"/>
      <c r="AD60" s="72">
        <f>$G$2*AC61</f>
        <v>69.251632899845646</v>
      </c>
      <c r="AE60" s="71"/>
    </row>
    <row r="61" spans="5:31" x14ac:dyDescent="0.25">
      <c r="E61" s="72"/>
      <c r="Q61" s="56">
        <f>P60*$G$3</f>
        <v>67.57592814766582</v>
      </c>
      <c r="S61" s="72">
        <f>$G$2*R62</f>
        <v>67.57592814766582</v>
      </c>
      <c r="T61" s="71"/>
      <c r="U61" s="72">
        <f>$G$2*T62</f>
        <v>67.57592814766582</v>
      </c>
      <c r="V61" s="71"/>
      <c r="W61" s="72">
        <f>$G$2*V62</f>
        <v>67.57592814766582</v>
      </c>
      <c r="Y61" s="72">
        <f>$G$2*X62</f>
        <v>67.57592814766582</v>
      </c>
      <c r="Z61" s="71"/>
      <c r="AA61" s="72">
        <f>$G$2*Z62</f>
        <v>67.57592814766582</v>
      </c>
      <c r="AB61" s="71"/>
      <c r="AC61" s="72">
        <f>$G$2*AB62</f>
        <v>67.57592814766582</v>
      </c>
      <c r="AD61" s="71"/>
      <c r="AE61" s="72">
        <f>$G$2*AD62</f>
        <v>67.57592814766582</v>
      </c>
    </row>
    <row r="62" spans="5:31" x14ac:dyDescent="0.25">
      <c r="E62" s="72"/>
      <c r="R62" s="56">
        <f>Q61*$G$3</f>
        <v>65.940770979692985</v>
      </c>
      <c r="T62" s="72">
        <f>$G$2*S63</f>
        <v>65.940770979692985</v>
      </c>
      <c r="U62" s="71"/>
      <c r="V62" s="72">
        <f>$G$2*U63</f>
        <v>65.940770979692985</v>
      </c>
      <c r="X62" s="72">
        <f>$G$2*W63</f>
        <v>65.940770979692985</v>
      </c>
      <c r="Y62" s="71"/>
      <c r="Z62" s="72">
        <f>$G$2*Y63</f>
        <v>65.940770979692985</v>
      </c>
      <c r="AA62" s="71"/>
      <c r="AB62" s="72">
        <f>$G$2*AA63</f>
        <v>65.940770979692985</v>
      </c>
      <c r="AC62" s="71"/>
      <c r="AD62" s="72">
        <f>$G$2*AC63</f>
        <v>65.940770979692985</v>
      </c>
      <c r="AE62" s="71"/>
    </row>
    <row r="63" spans="5:31" x14ac:dyDescent="0.25">
      <c r="E63" s="72"/>
      <c r="S63" s="56">
        <f>R62*$G$3</f>
        <v>64.345180252570657</v>
      </c>
      <c r="U63" s="72">
        <f>$G$2*T64</f>
        <v>64.345180252570657</v>
      </c>
      <c r="W63" s="72">
        <f>$G$2*V64</f>
        <v>64.345180252570657</v>
      </c>
      <c r="X63" s="71"/>
      <c r="Y63" s="72">
        <f>$G$2*X64</f>
        <v>64.345180252570657</v>
      </c>
      <c r="Z63" s="71"/>
      <c r="AA63" s="72">
        <f>$G$2*Z64</f>
        <v>64.345180252570657</v>
      </c>
      <c r="AB63" s="71"/>
      <c r="AC63" s="72">
        <f>$G$2*AB64</f>
        <v>64.345180252570657</v>
      </c>
      <c r="AD63" s="71"/>
      <c r="AE63" s="72">
        <f>$G$2*AD64</f>
        <v>64.345180252570657</v>
      </c>
    </row>
    <row r="64" spans="5:31" x14ac:dyDescent="0.25">
      <c r="E64" s="72"/>
      <c r="T64" s="56">
        <f>S63*$G$3</f>
        <v>62.788198563993888</v>
      </c>
      <c r="V64" s="72">
        <f>$G$2*U65</f>
        <v>62.788198563993888</v>
      </c>
      <c r="W64" s="71"/>
      <c r="X64" s="72">
        <f>$G$2*W65</f>
        <v>62.788198563993888</v>
      </c>
      <c r="Y64" s="71"/>
      <c r="Z64" s="72">
        <f>$G$2*Y65</f>
        <v>62.788198563993888</v>
      </c>
      <c r="AA64" s="71"/>
      <c r="AB64" s="72">
        <f>$G$2*AA65</f>
        <v>62.788198563993888</v>
      </c>
      <c r="AC64" s="71"/>
      <c r="AD64" s="72">
        <f>$G$2*AC65</f>
        <v>62.788198563993888</v>
      </c>
      <c r="AE64" s="71"/>
    </row>
    <row r="65" spans="1:44" x14ac:dyDescent="0.25">
      <c r="E65" s="72"/>
      <c r="U65" s="56">
        <f>T64*$G$3</f>
        <v>61.268891678239143</v>
      </c>
      <c r="W65" s="72">
        <f>$G$2*V66</f>
        <v>61.268891678239143</v>
      </c>
      <c r="X65" s="71"/>
      <c r="Y65" s="72">
        <f>$G$2*X66</f>
        <v>61.268891678239143</v>
      </c>
      <c r="Z65" s="71"/>
      <c r="AA65" s="72">
        <f>$G$2*Z66</f>
        <v>61.268891678239143</v>
      </c>
      <c r="AB65" s="71"/>
      <c r="AC65" s="72">
        <f>$G$2*AB66</f>
        <v>61.268891678239143</v>
      </c>
      <c r="AD65" s="71"/>
      <c r="AE65" s="72">
        <f>$G$2*AD66</f>
        <v>61.268891678239143</v>
      </c>
    </row>
    <row r="66" spans="1:44" x14ac:dyDescent="0.25">
      <c r="E66" s="72"/>
      <c r="V66" s="56">
        <f>U65*$G$3</f>
        <v>59.786347965594857</v>
      </c>
      <c r="X66" s="72">
        <f>$G$2*W67</f>
        <v>59.786347965594857</v>
      </c>
      <c r="Y66" s="71"/>
      <c r="Z66" s="72">
        <f>$G$2*Y67</f>
        <v>59.786347965594857</v>
      </c>
      <c r="AA66" s="71"/>
      <c r="AB66" s="72">
        <f>$G$2*AA67</f>
        <v>59.786347965594857</v>
      </c>
      <c r="AD66" s="72">
        <f>$G$2*AC67</f>
        <v>59.786347965594857</v>
      </c>
    </row>
    <row r="67" spans="1:44" x14ac:dyDescent="0.25">
      <c r="E67" s="72"/>
      <c r="W67" s="56">
        <f>V66*$G$3</f>
        <v>58.339677855356236</v>
      </c>
      <c r="Y67" s="72">
        <f>$G$2*X68</f>
        <v>58.339677855356236</v>
      </c>
      <c r="Z67" s="71"/>
      <c r="AA67" s="72">
        <f>$G$2*Z68</f>
        <v>58.339677855356236</v>
      </c>
      <c r="AC67" s="72">
        <f>$G$2*AB68</f>
        <v>58.339677855356236</v>
      </c>
      <c r="AE67" s="72">
        <f>$G$2*AD68</f>
        <v>58.339677855356236</v>
      </c>
    </row>
    <row r="68" spans="1:44" x14ac:dyDescent="0.25">
      <c r="E68" s="72"/>
      <c r="X68" s="56">
        <f>W67*$G$3</f>
        <v>56.928013302056172</v>
      </c>
      <c r="Z68" s="72">
        <f>$G$2*Y69</f>
        <v>56.928013302056172</v>
      </c>
      <c r="AB68" s="72">
        <f>$G$2*AA69</f>
        <v>56.928013302056172</v>
      </c>
      <c r="AC68" s="71"/>
      <c r="AD68" s="72">
        <f>$G$2*AC69</f>
        <v>56.928013302056172</v>
      </c>
      <c r="AE68" s="71"/>
    </row>
    <row r="69" spans="1:44" x14ac:dyDescent="0.25">
      <c r="E69" s="72"/>
      <c r="Y69" s="56">
        <f>X68*$G$3</f>
        <v>55.550507264611895</v>
      </c>
      <c r="AA69" s="72">
        <f>$G$2*Z70</f>
        <v>55.550507264611895</v>
      </c>
      <c r="AB69" s="71"/>
      <c r="AC69" s="72">
        <f>$G$2*AB70</f>
        <v>55.550507264611895</v>
      </c>
      <c r="AD69" s="71"/>
      <c r="AE69" s="72">
        <f>$G$2*AD70</f>
        <v>55.550507264611902</v>
      </c>
    </row>
    <row r="70" spans="1:44" x14ac:dyDescent="0.25">
      <c r="E70" s="72"/>
      <c r="Z70" s="56">
        <f>Y69*$G$3</f>
        <v>54.206333198074937</v>
      </c>
      <c r="AB70" s="72">
        <f>$G$2*AA71</f>
        <v>54.206333198074937</v>
      </c>
      <c r="AC70" s="71"/>
      <c r="AD70" s="72">
        <f>$G$2*AC71</f>
        <v>54.206333198074944</v>
      </c>
      <c r="AE70" s="71"/>
    </row>
    <row r="71" spans="1:44" x14ac:dyDescent="0.25">
      <c r="E71" s="72"/>
      <c r="AA71" s="56">
        <f>Z70*$G$3</f>
        <v>52.894684557679341</v>
      </c>
      <c r="AC71" s="72">
        <f>$G$2*AB72</f>
        <v>52.894684557679348</v>
      </c>
      <c r="AD71" s="71"/>
      <c r="AE71" s="72">
        <f>$G$2*AD72</f>
        <v>52.894684557679348</v>
      </c>
    </row>
    <row r="72" spans="1:44" x14ac:dyDescent="0.25">
      <c r="E72" s="72"/>
      <c r="AB72" s="56">
        <f>AA71*$G$3</f>
        <v>51.614774314890632</v>
      </c>
      <c r="AD72" s="72">
        <f>$G$2*AC73</f>
        <v>51.614774314890632</v>
      </c>
      <c r="AE72" s="71"/>
    </row>
    <row r="73" spans="1:44" x14ac:dyDescent="0.25">
      <c r="E73" s="72"/>
      <c r="AC73" s="56">
        <f>AB72*$G$3</f>
        <v>50.365834485165053</v>
      </c>
      <c r="AD73" s="71"/>
      <c r="AE73" s="72">
        <f>$G$2*AD74</f>
        <v>50.365834485165053</v>
      </c>
    </row>
    <row r="74" spans="1:44" x14ac:dyDescent="0.25">
      <c r="E74" s="72"/>
      <c r="AD74" s="56">
        <f>AC73*$G$3</f>
        <v>49.147115667135829</v>
      </c>
      <c r="AE74" s="71"/>
    </row>
    <row r="75" spans="1:44" x14ac:dyDescent="0.25">
      <c r="E75" s="72"/>
      <c r="AE75" s="56">
        <f>AD74*$G$3</f>
        <v>47.957886592949841</v>
      </c>
    </row>
    <row r="76" spans="1:44" x14ac:dyDescent="0.25">
      <c r="A76" s="74"/>
      <c r="B76" s="74"/>
      <c r="C76" s="74"/>
      <c r="D76" s="74"/>
      <c r="E76" s="75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M76" s="199" t="s">
        <v>153</v>
      </c>
      <c r="AN76" s="200"/>
      <c r="AO76" s="201"/>
      <c r="AP76" s="199" t="s">
        <v>155</v>
      </c>
      <c r="AQ76" s="200"/>
      <c r="AR76" s="201"/>
    </row>
    <row r="77" spans="1:44" x14ac:dyDescent="0.25">
      <c r="A77" s="73"/>
      <c r="G77" s="72"/>
      <c r="AF77" s="88" t="s">
        <v>147</v>
      </c>
      <c r="AG77" s="88" t="s">
        <v>151</v>
      </c>
      <c r="AH77" s="88" t="s">
        <v>152</v>
      </c>
      <c r="AI77" s="88" t="s">
        <v>148</v>
      </c>
      <c r="AJ77" s="88" t="s">
        <v>94</v>
      </c>
      <c r="AK77" s="88" t="s">
        <v>149</v>
      </c>
      <c r="AL77" s="88" t="s">
        <v>150</v>
      </c>
      <c r="AM77" s="88" t="s">
        <v>2</v>
      </c>
      <c r="AN77" s="88" t="s">
        <v>3</v>
      </c>
      <c r="AO77" s="88" t="s">
        <v>154</v>
      </c>
      <c r="AP77" s="88" t="s">
        <v>2</v>
      </c>
      <c r="AQ77" s="88" t="s">
        <v>3</v>
      </c>
      <c r="AR77" s="88" t="s">
        <v>154</v>
      </c>
    </row>
    <row r="78" spans="1:44" x14ac:dyDescent="0.25">
      <c r="A78" s="73"/>
      <c r="G78" s="72"/>
      <c r="AE78" s="72">
        <f>MAX(AO78,AR78)</f>
        <v>98.906834214364608</v>
      </c>
      <c r="AF78" s="98">
        <f>AE15</f>
        <v>208.51627772667712</v>
      </c>
      <c r="AG78" s="95">
        <f>$B$3</f>
        <v>110</v>
      </c>
      <c r="AH78" s="95">
        <f>$B$2</f>
        <v>90</v>
      </c>
      <c r="AI78" s="92">
        <f>$B$5</f>
        <v>0.05</v>
      </c>
      <c r="AJ78" s="92">
        <f>$B$6</f>
        <v>0.02</v>
      </c>
      <c r="AK78" s="92">
        <f>$B$4</f>
        <v>0.3</v>
      </c>
      <c r="AL78" s="90">
        <f>$B$8</f>
        <v>0.3</v>
      </c>
      <c r="AM78" s="90">
        <f>(LN(AF78/AG78)+((AI78-AJ78+(0.5*AK78*AK78))*AL78))/(AK78*SQRT(AL78))</f>
        <v>4.0290273117236453</v>
      </c>
      <c r="AN78" s="90">
        <f>AM78-(AK78*SQRT(AL78))</f>
        <v>3.8647105444720955</v>
      </c>
      <c r="AO78" s="102">
        <f>(AF78*EXP(-AJ78*AL78)*NORMSDIST(AM78))-(AG78*EXP(-AI78*AL78)*NORMSDIST(AN78))</f>
        <v>98.906834214364608</v>
      </c>
      <c r="AP78" s="90">
        <f>(LN(AF78/AH78)+((AI78-AJ78+(0.5*AK78*AK78))*AL78))/(AK78*SQRT(AL78))</f>
        <v>5.2502702732221982</v>
      </c>
      <c r="AQ78" s="90">
        <f>AP78-(AK78*SQRT(AL78))</f>
        <v>5.0859535059706484</v>
      </c>
      <c r="AR78" s="106">
        <f>-(AF78*EXP(-AJ78*AL78)*NORMSDIST(-AP78))+(AH78*EXP(-AI78*AL78)*NORMSDIST(-AQ78))</f>
        <v>4.7559432119747153E-7</v>
      </c>
    </row>
    <row r="79" spans="1:44" x14ac:dyDescent="0.25">
      <c r="A79" s="73"/>
      <c r="G79" s="72"/>
      <c r="AD79" s="72">
        <f>(($G$4*AE78)+((1-$G$4)*AE80))*EXP(-$B$5*$G$1)</f>
        <v>93.900902542477994</v>
      </c>
      <c r="AF79" s="99"/>
      <c r="AG79" s="89"/>
      <c r="AH79" s="89"/>
      <c r="AI79" s="89"/>
      <c r="AJ79" s="89"/>
      <c r="AK79" s="89"/>
      <c r="AL79" s="89"/>
      <c r="AM79" s="89"/>
      <c r="AN79" s="89"/>
      <c r="AO79" s="103"/>
      <c r="AP79" s="89"/>
      <c r="AQ79" s="89"/>
      <c r="AR79" s="107"/>
    </row>
    <row r="80" spans="1:44" x14ac:dyDescent="0.25">
      <c r="A80" s="73"/>
      <c r="G80" s="72"/>
      <c r="AC80" s="72">
        <f>(($G$4*AD79)+((1-$G$4)*AD81))*EXP(-$B$5*$G$1)</f>
        <v>89.017912184485724</v>
      </c>
      <c r="AE80" s="72">
        <f>MAX(AO80,AR80)</f>
        <v>88.998028369534083</v>
      </c>
      <c r="AF80" s="100">
        <f>AE17</f>
        <v>198.54729107973881</v>
      </c>
      <c r="AG80" s="96">
        <f>$B$3</f>
        <v>110</v>
      </c>
      <c r="AH80" s="96">
        <f>$B$2</f>
        <v>90</v>
      </c>
      <c r="AI80" s="93">
        <f>$B$5</f>
        <v>0.05</v>
      </c>
      <c r="AJ80" s="93">
        <f>$B$6</f>
        <v>0.02</v>
      </c>
      <c r="AK80" s="93">
        <f>$B$4</f>
        <v>0.3</v>
      </c>
      <c r="AL80" s="89">
        <f>$B$8</f>
        <v>0.3</v>
      </c>
      <c r="AM80" s="89">
        <f>(LN(AF80/AG80)+((AI80-AJ80+(0.5*AK80*AK80))*AL80))/(AK80*SQRT(AL80))</f>
        <v>3.7308849147236711</v>
      </c>
      <c r="AN80" s="89">
        <f>AM80-(AK80*SQRT(AL80))</f>
        <v>3.5665681474721214</v>
      </c>
      <c r="AO80" s="104">
        <f>(AF80*EXP(-AJ80*AL80)*NORMSDIST(AM80))-(AG80*EXP(-AI80*AL80)*NORMSDIST(AN80))</f>
        <v>88.998028369534083</v>
      </c>
      <c r="AP80" s="89">
        <f>(LN(AF80/AH80)+((AI80-AJ80+(0.5*AK80*AK80))*AL80))/(AK80*SQRT(AL80))</f>
        <v>4.9521278762222236</v>
      </c>
      <c r="AQ80" s="89">
        <f>AP80-(AK80*SQRT(AL80))</f>
        <v>4.7878111089706739</v>
      </c>
      <c r="AR80" s="108">
        <f>-(AF80*EXP(-AJ80*AL80)*NORMSDIST(-AP80))+(AH80*EXP(-AI80*AL80)*NORMSDIST(-AQ80))</f>
        <v>2.307760652900818E-6</v>
      </c>
    </row>
    <row r="81" spans="1:44" x14ac:dyDescent="0.25">
      <c r="A81" s="73"/>
      <c r="G81" s="72"/>
      <c r="AB81" s="72">
        <f>(($G$4*AC80)+((1-$G$4)*AC82))*EXP(-$B$5*$G$1)</f>
        <v>84.255126385703861</v>
      </c>
      <c r="AD81" s="72">
        <f>(($G$4*AE80)+((1-$G$4)*AE82))*EXP(-$B$5*$G$1)</f>
        <v>84.233737111031616</v>
      </c>
      <c r="AF81" s="99"/>
      <c r="AG81" s="89"/>
      <c r="AH81" s="89"/>
      <c r="AI81" s="89"/>
      <c r="AJ81" s="89"/>
      <c r="AK81" s="89"/>
      <c r="AL81" s="89"/>
      <c r="AM81" s="89"/>
      <c r="AN81" s="89"/>
      <c r="AO81" s="103"/>
      <c r="AP81" s="89"/>
      <c r="AQ81" s="89"/>
      <c r="AR81" s="107"/>
    </row>
    <row r="82" spans="1:44" x14ac:dyDescent="0.25">
      <c r="A82" s="73"/>
      <c r="G82" s="72"/>
      <c r="AA82" s="72">
        <f>(($G$4*AB81)+((1-$G$4)*AB83))*EXP(-$B$5*$G$1)</f>
        <v>79.61004941702933</v>
      </c>
      <c r="AC82" s="72">
        <f>(($G$4*AD81)+((1-$G$4)*AD83))*EXP(-$B$5*$G$1)</f>
        <v>79.58701573228474</v>
      </c>
      <c r="AE82" s="72">
        <f>MAX(AO82,AR82)</f>
        <v>79.564119034197489</v>
      </c>
      <c r="AF82" s="100">
        <f>AE19</f>
        <v>189.05491324171615</v>
      </c>
      <c r="AG82" s="96">
        <f>$B$3</f>
        <v>110</v>
      </c>
      <c r="AH82" s="96">
        <f>$B$2</f>
        <v>90</v>
      </c>
      <c r="AI82" s="93">
        <f>$B$5</f>
        <v>0.05</v>
      </c>
      <c r="AJ82" s="93">
        <f>$B$6</f>
        <v>0.02</v>
      </c>
      <c r="AK82" s="93">
        <f>$B$4</f>
        <v>0.3</v>
      </c>
      <c r="AL82" s="89">
        <f>$B$8</f>
        <v>0.3</v>
      </c>
      <c r="AM82" s="89">
        <f>(LN(AF82/AG82)+((AI82-AJ82+(0.5*AK82*AK82))*AL82))/(AK82*SQRT(AL82))</f>
        <v>3.4327425177236983</v>
      </c>
      <c r="AN82" s="89">
        <f>AM82-(AK82*SQRT(AL82))</f>
        <v>3.2684257504721486</v>
      </c>
      <c r="AO82" s="104">
        <f>(AF82*EXP(-AJ82*AL82)*NORMSDIST(AM82))-(AG82*EXP(-AI82*AL82)*NORMSDIST(AN82))</f>
        <v>79.564119034197489</v>
      </c>
      <c r="AP82" s="89">
        <f>(LN(AF82/AH82)+((AI82-AJ82+(0.5*AK82*AK82))*AL82))/(AK82*SQRT(AL82))</f>
        <v>4.6539854792222508</v>
      </c>
      <c r="AQ82" s="89">
        <f>AP82-(AK82*SQRT(AL82))</f>
        <v>4.4896687119707011</v>
      </c>
      <c r="AR82" s="108">
        <f>-(AF82*EXP(-AJ82*AL82)*NORMSDIST(-AP82))+(AH82*EXP(-AI82*AL82)*NORMSDIST(-AQ82))</f>
        <v>1.0302814454397219E-5</v>
      </c>
    </row>
    <row r="83" spans="1:44" x14ac:dyDescent="0.25">
      <c r="A83" s="73"/>
      <c r="G83" s="72"/>
      <c r="Z83" s="72">
        <f>(($G$4*AA82)+((1-$G$4)*AA84))*EXP(-$B$5*$G$1)</f>
        <v>75.080507404226182</v>
      </c>
      <c r="AB83" s="72">
        <f>(($G$4*AC82)+((1-$G$4)*AC84))*EXP(-$B$5*$G$1)</f>
        <v>75.055605912768215</v>
      </c>
      <c r="AD83" s="72">
        <f>(($G$4*AE82)+((1-$G$4)*AE84))*EXP(-$B$5*$G$1)</f>
        <v>75.03092589200142</v>
      </c>
      <c r="AF83" s="99"/>
      <c r="AG83" s="89"/>
      <c r="AH83" s="89"/>
      <c r="AI83" s="89"/>
      <c r="AJ83" s="89"/>
      <c r="AK83" s="89"/>
      <c r="AL83" s="89"/>
      <c r="AM83" s="89"/>
      <c r="AN83" s="89"/>
      <c r="AO83" s="103"/>
      <c r="AP83" s="89"/>
      <c r="AQ83" s="89"/>
      <c r="AR83" s="107"/>
    </row>
    <row r="84" spans="1:44" x14ac:dyDescent="0.25">
      <c r="A84" s="73"/>
      <c r="G84" s="72"/>
      <c r="Y84" s="72">
        <f>(($G$4*Z83)+((1-$G$4)*Z85))*EXP(-$B$5*$G$1)</f>
        <v>70.664751251975161</v>
      </c>
      <c r="AA84" s="72">
        <f>(($G$4*AB83)+((1-$G$4)*AB85))*EXP(-$B$5*$G$1)</f>
        <v>70.637651572656637</v>
      </c>
      <c r="AC84" s="72">
        <f>(($G$4*AD83)+((1-$G$4)*AD85))*EXP(-$B$5*$G$1)</f>
        <v>70.610880924524579</v>
      </c>
      <c r="AE84" s="72">
        <f>MAX(AO84,AR84)</f>
        <v>70.584415691287063</v>
      </c>
      <c r="AF84" s="100">
        <f>AE21</f>
        <v>180.01635794909203</v>
      </c>
      <c r="AG84" s="96">
        <f>$B$3</f>
        <v>110</v>
      </c>
      <c r="AH84" s="96">
        <f>$B$2</f>
        <v>90</v>
      </c>
      <c r="AI84" s="93">
        <f>$B$5</f>
        <v>0.05</v>
      </c>
      <c r="AJ84" s="93">
        <f>$B$6</f>
        <v>0.02</v>
      </c>
      <c r="AK84" s="93">
        <f>$B$4</f>
        <v>0.3</v>
      </c>
      <c r="AL84" s="89">
        <f>$B$8</f>
        <v>0.3</v>
      </c>
      <c r="AM84" s="89">
        <f>(LN(AF84/AG84)+((AI84-AJ84+(0.5*AK84*AK84))*AL84))/(AK84*SQRT(AL84))</f>
        <v>3.1346001207237255</v>
      </c>
      <c r="AN84" s="89">
        <f>AM84-(AK84*SQRT(AL84))</f>
        <v>2.9702833534721758</v>
      </c>
      <c r="AO84" s="104">
        <f>(AF84*EXP(-AJ84*AL84)*NORMSDIST(AM84))-(AG84*EXP(-AI84*AL84)*NORMSDIST(AN84))</f>
        <v>70.584415691287063</v>
      </c>
      <c r="AP84" s="89">
        <f>(LN(AF84/AH84)+((AI84-AJ84+(0.5*AK84*AK84))*AL84))/(AK84*SQRT(AL84))</f>
        <v>4.3558430822222789</v>
      </c>
      <c r="AQ84" s="89">
        <f>AP84-(AK84*SQRT(AL84))</f>
        <v>4.1915263149707291</v>
      </c>
      <c r="AR84" s="108">
        <f>-(AF84*EXP(-AJ84*AL84)*NORMSDIST(-AP84))+(AH84*EXP(-AI84*AL84)*NORMSDIST(-AQ84))</f>
        <v>4.2341958970531449E-5</v>
      </c>
    </row>
    <row r="85" spans="1:44" x14ac:dyDescent="0.25">
      <c r="A85" s="73"/>
      <c r="G85" s="72"/>
      <c r="X85" s="72">
        <f>(($G$4*Y84)+((1-$G$4)*Y86))*EXP(-$B$5*$G$1)</f>
        <v>66.361578906947145</v>
      </c>
      <c r="Z85" s="72">
        <f>(($G$4*AA84)+((1-$G$4)*AA86))*EXP(-$B$5*$G$1)</f>
        <v>66.331823780343015</v>
      </c>
      <c r="AB85" s="72">
        <f>(($G$4*AC84)+((1-$G$4)*AC86))*EXP(-$B$5*$G$1)</f>
        <v>66.302525789640384</v>
      </c>
      <c r="AD85" s="72">
        <f>(($G$4*AE84)+((1-$G$4)*AE86))*EXP(-$B$5*$G$1)</f>
        <v>66.273663734592006</v>
      </c>
      <c r="AF85" s="99"/>
      <c r="AG85" s="89"/>
      <c r="AH85" s="89"/>
      <c r="AI85" s="89"/>
      <c r="AJ85" s="89"/>
      <c r="AK85" s="89"/>
      <c r="AL85" s="89"/>
      <c r="AM85" s="89"/>
      <c r="AN85" s="89"/>
      <c r="AO85" s="103"/>
      <c r="AP85" s="89"/>
      <c r="AQ85" s="89"/>
      <c r="AR85" s="107"/>
    </row>
    <row r="86" spans="1:44" x14ac:dyDescent="0.25">
      <c r="A86" s="73"/>
      <c r="G86" s="72"/>
      <c r="W86" s="72">
        <f>(($G$4*X85)+((1-$G$4)*X87))*EXP(-$B$5*$G$1)</f>
        <v>62.170470011492995</v>
      </c>
      <c r="Y86" s="72">
        <f>(($G$4*Z85)+((1-$G$4)*Z87))*EXP(-$B$5*$G$1)</f>
        <v>62.137462278490304</v>
      </c>
      <c r="AA86" s="72">
        <f>(($G$4*AB85)+((1-$G$4)*AB87))*EXP(-$B$5*$G$1)</f>
        <v>62.105053535453798</v>
      </c>
      <c r="AC86" s="72">
        <f>(($G$4*AD85)+((1-$G$4)*AD87))*EXP(-$B$5*$G$1)</f>
        <v>62.073229295040569</v>
      </c>
      <c r="AE86" s="72">
        <f>MAX(AO86,AR86)</f>
        <v>62.041970739325834</v>
      </c>
      <c r="AF86" s="100">
        <f>AE23</f>
        <v>171.40992833031044</v>
      </c>
      <c r="AG86" s="96">
        <f>$B$3</f>
        <v>110</v>
      </c>
      <c r="AH86" s="96">
        <f>$B$2</f>
        <v>90</v>
      </c>
      <c r="AI86" s="93">
        <f>$B$5</f>
        <v>0.05</v>
      </c>
      <c r="AJ86" s="93">
        <f>$B$6</f>
        <v>0.02</v>
      </c>
      <c r="AK86" s="93">
        <f>$B$4</f>
        <v>0.3</v>
      </c>
      <c r="AL86" s="89">
        <f>$B$8</f>
        <v>0.3</v>
      </c>
      <c r="AM86" s="89">
        <f>(LN(AF86/AG86)+((AI86-AJ86+(0.5*AK86*AK86))*AL86))/(AK86*SQRT(AL86))</f>
        <v>2.8364577237237536</v>
      </c>
      <c r="AN86" s="89">
        <f>AM86-(AK86*SQRT(AL86))</f>
        <v>2.6721409564722038</v>
      </c>
      <c r="AO86" s="104">
        <f>(AF86*EXP(-AJ86*AL86)*NORMSDIST(AM86))-(AG86*EXP(-AI86*AL86)*NORMSDIST(AN86))</f>
        <v>62.041970739325834</v>
      </c>
      <c r="AP86" s="89">
        <f>(LN(AF86/AH86)+((AI86-AJ86+(0.5*AK86*AK86))*AL86))/(AK86*SQRT(AL86))</f>
        <v>4.0577006852223061</v>
      </c>
      <c r="AQ86" s="89">
        <f>AP86-(AK86*SQRT(AL86))</f>
        <v>3.8933839179707563</v>
      </c>
      <c r="AR86" s="108">
        <f>-(AF86*EXP(-AJ86*AL86)*NORMSDIST(-AP86))+(AH86*EXP(-AI86*AL86)*NORMSDIST(-AQ86))</f>
        <v>1.6029075319989872E-4</v>
      </c>
    </row>
    <row r="87" spans="1:44" x14ac:dyDescent="0.25">
      <c r="A87" s="73"/>
      <c r="G87" s="72"/>
      <c r="V87" s="72">
        <f>(($G$4*W86)+((1-$G$4)*W88))*EXP(-$B$5*$G$1)</f>
        <v>58.091721585759593</v>
      </c>
      <c r="X87" s="72">
        <f>(($G$4*Y86)+((1-$G$4)*Y88))*EXP(-$B$5*$G$1)</f>
        <v>58.054722517013914</v>
      </c>
      <c r="Z87" s="72">
        <f>(($G$4*AA86)+((1-$G$4)*AA88))*EXP(-$B$5*$G$1)</f>
        <v>58.018466703750747</v>
      </c>
      <c r="AB87" s="72">
        <f>(($G$4*AC86)+((1-$G$4)*AC88))*EXP(-$B$5*$G$1)</f>
        <v>57.982950978936003</v>
      </c>
      <c r="AD87" s="72">
        <f>(($G$4*AE86)+((1-$G$4)*AE88))*EXP(-$B$5*$G$1)</f>
        <v>57.948167503930897</v>
      </c>
      <c r="AF87" s="99"/>
      <c r="AG87" s="89"/>
      <c r="AH87" s="89"/>
      <c r="AI87" s="89"/>
      <c r="AJ87" s="89"/>
      <c r="AK87" s="89"/>
      <c r="AL87" s="89"/>
      <c r="AM87" s="89"/>
      <c r="AN87" s="89"/>
      <c r="AO87" s="103"/>
      <c r="AP87" s="89"/>
      <c r="AQ87" s="89"/>
      <c r="AR87" s="107"/>
    </row>
    <row r="88" spans="1:44" x14ac:dyDescent="0.25">
      <c r="A88" s="73"/>
      <c r="G88" s="72"/>
      <c r="U88" s="72">
        <f>(($G$4*V87)+((1-$G$4)*V89))*EXP(-$B$5*$G$1)</f>
        <v>54.12656956163238</v>
      </c>
      <c r="W88" s="72">
        <f>(($G$4*X87)+((1-$G$4)*X89))*EXP(-$B$5*$G$1)</f>
        <v>54.084712445364381</v>
      </c>
      <c r="Y88" s="72">
        <f>(($G$4*Z87)+((1-$G$4)*Z89))*EXP(-$B$5*$G$1)</f>
        <v>54.043729922777089</v>
      </c>
      <c r="AA88" s="72">
        <f>(($G$4*AB87)+((1-$G$4)*AB89))*EXP(-$B$5*$G$1)</f>
        <v>54.003634241801706</v>
      </c>
      <c r="AC88" s="72">
        <f>(($G$4*AD87)+((1-$G$4)*AD89))*EXP(-$B$5*$G$1)</f>
        <v>53.964433461569499</v>
      </c>
      <c r="AE88" s="72">
        <f>MAX(AO88,AR88)</f>
        <v>53.92613062825464</v>
      </c>
      <c r="AF88" s="100">
        <f>AE25</f>
        <v>163.2149648228696</v>
      </c>
      <c r="AG88" s="96">
        <f>$B$3</f>
        <v>110</v>
      </c>
      <c r="AH88" s="96">
        <f>$B$2</f>
        <v>90</v>
      </c>
      <c r="AI88" s="93">
        <f>$B$5</f>
        <v>0.05</v>
      </c>
      <c r="AJ88" s="93">
        <f>$B$6</f>
        <v>0.02</v>
      </c>
      <c r="AK88" s="93">
        <f>$B$4</f>
        <v>0.3</v>
      </c>
      <c r="AL88" s="89">
        <f>$B$8</f>
        <v>0.3</v>
      </c>
      <c r="AM88" s="89">
        <f>(LN(AF88/AG88)+((AI88-AJ88+(0.5*AK88*AK88))*AL88))/(AK88*SQRT(AL88))</f>
        <v>2.5383153267237795</v>
      </c>
      <c r="AN88" s="89">
        <f>AM88-(AK88*SQRT(AL88))</f>
        <v>2.3739985594722297</v>
      </c>
      <c r="AO88" s="104">
        <f>(AF88*EXP(-AJ88*AL88)*NORMSDIST(AM88))-(AG88*EXP(-AI88*AL88)*NORMSDIST(AN88))</f>
        <v>53.92613062825464</v>
      </c>
      <c r="AP88" s="89">
        <f>(LN(AF88/AH88)+((AI88-AJ88+(0.5*AK88*AK88))*AL88))/(AK88*SQRT(AL88))</f>
        <v>3.7595582882223324</v>
      </c>
      <c r="AQ88" s="89">
        <f>AP88-(AK88*SQRT(AL88))</f>
        <v>3.5952415209707826</v>
      </c>
      <c r="AR88" s="108">
        <f>-(AF88*EXP(-AJ88*AL88)*NORMSDIST(-AP88))+(AH88*EXP(-AI88*AL88)*NORMSDIST(-AQ88))</f>
        <v>5.593457085424948E-4</v>
      </c>
    </row>
    <row r="89" spans="1:44" x14ac:dyDescent="0.25">
      <c r="A89" s="73"/>
      <c r="G89" s="72"/>
      <c r="T89" s="72">
        <f>(($G$4*U88)+((1-$G$4)*U90))*EXP(-$B$5*$G$1)</f>
        <v>50.277278643947781</v>
      </c>
      <c r="V89" s="72">
        <f>(($G$4*W88)+((1-$G$4)*W90))*EXP(-$B$5*$G$1)</f>
        <v>50.229600094035632</v>
      </c>
      <c r="X89" s="72">
        <f>(($G$4*Y88)+((1-$G$4)*Y90))*EXP(-$B$5*$G$1)</f>
        <v>50.182896632923125</v>
      </c>
      <c r="Z89" s="72">
        <f>(($G$4*AA88)+((1-$G$4)*AA90))*EXP(-$B$5*$G$1)</f>
        <v>50.13719861662625</v>
      </c>
      <c r="AB89" s="72">
        <f>(($G$4*AC88)+((1-$G$4)*AC90))*EXP(-$B$5*$G$1)</f>
        <v>50.092533590842756</v>
      </c>
      <c r="AD89" s="72">
        <f>(($G$4*AE88)+((1-$G$4)*AE90))*EXP(-$B$5*$G$1)</f>
        <v>50.048925388568065</v>
      </c>
      <c r="AF89" s="99"/>
      <c r="AG89" s="89"/>
      <c r="AH89" s="89"/>
      <c r="AI89" s="89"/>
      <c r="AJ89" s="89"/>
      <c r="AK89" s="89"/>
      <c r="AL89" s="89"/>
      <c r="AM89" s="89"/>
      <c r="AN89" s="89"/>
      <c r="AO89" s="103"/>
      <c r="AP89" s="89"/>
      <c r="AQ89" s="89"/>
      <c r="AR89" s="107"/>
    </row>
    <row r="90" spans="1:44" x14ac:dyDescent="0.25">
      <c r="A90" s="73"/>
      <c r="G90" s="72"/>
      <c r="S90" s="72">
        <f>(($G$4*T89)+((1-$G$4)*T91))*EXP(-$B$5*$G$1)</f>
        <v>46.547182808770202</v>
      </c>
      <c r="U90" s="72">
        <f>(($G$4*V89)+((1-$G$4)*V91))*EXP(-$B$5*$G$1)</f>
        <v>46.492672080237959</v>
      </c>
      <c r="W90" s="72">
        <f>(($G$4*X89)+((1-$G$4)*X91))*EXP(-$B$5*$G$1)</f>
        <v>46.439187766398724</v>
      </c>
      <c r="Y90" s="72">
        <f>(($G$4*Z89)+((1-$G$4)*Z91))*EXP(-$B$5*$G$1)</f>
        <v>46.386778866921595</v>
      </c>
      <c r="AA90" s="72">
        <f>(($G$4*AB89)+((1-$G$4)*AB91))*EXP(-$B$5*$G$1)</f>
        <v>46.335493718837057</v>
      </c>
      <c r="AC90" s="72">
        <f>(($G$4*AD89)+((1-$G$4)*AD91))*EXP(-$B$5*$G$1)</f>
        <v>46.285379214264928</v>
      </c>
      <c r="AE90" s="72">
        <f>MAX(AO90,AR90)</f>
        <v>46.236479819840284</v>
      </c>
      <c r="AF90" s="100">
        <f>AE27</f>
        <v>155.41179558045451</v>
      </c>
      <c r="AG90" s="96">
        <f>$B$3</f>
        <v>110</v>
      </c>
      <c r="AH90" s="96">
        <f>$B$2</f>
        <v>90</v>
      </c>
      <c r="AI90" s="93">
        <f>$B$5</f>
        <v>0.05</v>
      </c>
      <c r="AJ90" s="93">
        <f>$B$6</f>
        <v>0.02</v>
      </c>
      <c r="AK90" s="93">
        <f>$B$4</f>
        <v>0.3</v>
      </c>
      <c r="AL90" s="89">
        <f>$B$8</f>
        <v>0.3</v>
      </c>
      <c r="AM90" s="89">
        <f>(LN(AF90/AG90)+((AI90-AJ90+(0.5*AK90*AK90))*AL90))/(AK90*SQRT(AL90))</f>
        <v>2.2401729297238062</v>
      </c>
      <c r="AN90" s="89">
        <f>AM90-(AK90*SQRT(AL90))</f>
        <v>2.0758561624722565</v>
      </c>
      <c r="AO90" s="104">
        <f>(AF90*EXP(-AJ90*AL90)*NORMSDIST(AM90))-(AG90*EXP(-AI90*AL90)*NORMSDIST(AN90))</f>
        <v>46.236479819840284</v>
      </c>
      <c r="AP90" s="89">
        <f>(LN(AF90/AH90)+((AI90-AJ90+(0.5*AK90*AK90))*AL90))/(AK90*SQRT(AL90))</f>
        <v>3.4614158912223592</v>
      </c>
      <c r="AQ90" s="89">
        <f>AP90-(AK90*SQRT(AL90))</f>
        <v>3.2970991239708094</v>
      </c>
      <c r="AR90" s="108">
        <f>-(AF90*EXP(-AJ90*AL90)*NORMSDIST(-AP90))+(AH90*EXP(-AI90*AL90)*NORMSDIST(-AQ90))</f>
        <v>1.8007134513673764E-3</v>
      </c>
    </row>
    <row r="91" spans="1:44" x14ac:dyDescent="0.25">
      <c r="A91" s="73"/>
      <c r="G91" s="72"/>
      <c r="R91" s="72">
        <f>(($G$4*S90)+((1-$G$4)*S92))*EXP(-$B$5*$G$1)</f>
        <v>42.940661150150419</v>
      </c>
      <c r="T91" s="72">
        <f>(($G$4*U90)+((1-$G$4)*U92))*EXP(-$B$5*$G$1)</f>
        <v>42.878325171481102</v>
      </c>
      <c r="V91" s="72">
        <f>(($G$4*W90)+((1-$G$4)*W92))*EXP(-$B$5*$G$1)</f>
        <v>42.817001614936231</v>
      </c>
      <c r="X91" s="72">
        <f>(($G$4*Y90)+((1-$G$4)*Y92))*EXP(-$B$5*$G$1)</f>
        <v>42.756756063278097</v>
      </c>
      <c r="Z91" s="72">
        <f>(($G$4*AA90)+((1-$G$4)*AA92))*EXP(-$B$5*$G$1)</f>
        <v>42.697656040784821</v>
      </c>
      <c r="AB91" s="72">
        <f>(($G$4*AC90)+((1-$G$4)*AC92))*EXP(-$B$5*$G$1)</f>
        <v>42.639770538873542</v>
      </c>
      <c r="AD91" s="72">
        <f>(($G$4*AE90)+((1-$G$4)*AE92))*EXP(-$B$5*$G$1)</f>
        <v>42.583169352444592</v>
      </c>
      <c r="AF91" s="99"/>
      <c r="AG91" s="89"/>
      <c r="AH91" s="89"/>
      <c r="AI91" s="89"/>
      <c r="AJ91" s="89"/>
      <c r="AK91" s="89"/>
      <c r="AL91" s="89"/>
      <c r="AM91" s="89"/>
      <c r="AN91" s="89"/>
      <c r="AO91" s="103"/>
      <c r="AP91" s="89"/>
      <c r="AQ91" s="89"/>
      <c r="AR91" s="107"/>
    </row>
    <row r="92" spans="1:44" x14ac:dyDescent="0.25">
      <c r="A92" s="73"/>
      <c r="G92" s="72"/>
      <c r="Q92" s="72">
        <f>(($G$4*R91)+((1-$G$4)*R93))*EXP(-$B$5*$G$1)</f>
        <v>39.463038697173594</v>
      </c>
      <c r="S92" s="72">
        <f>(($G$4*T91)+((1-$G$4)*T93))*EXP(-$B$5*$G$1)</f>
        <v>39.391977990427357</v>
      </c>
      <c r="U92" s="72">
        <f>(($G$4*V91)+((1-$G$4)*V93))*EXP(-$B$5*$G$1)</f>
        <v>39.321838989957648</v>
      </c>
      <c r="W92" s="72">
        <f>(($G$4*X91)+((1-$G$4)*X93))*EXP(-$B$5*$G$1)</f>
        <v>39.252699205127449</v>
      </c>
      <c r="Y92" s="72">
        <f>(($G$4*Z91)+((1-$G$4)*Z93))*EXP(-$B$5*$G$1)</f>
        <v>39.184640710513854</v>
      </c>
      <c r="AA92" s="72">
        <f>(($G$4*AB91)+((1-$G$4)*AB93))*EXP(-$B$5*$G$1)</f>
        <v>39.117750106480315</v>
      </c>
      <c r="AC92" s="72">
        <f>(($G$4*AD91)+((1-$G$4)*AD93))*EXP(-$B$5*$G$1)</f>
        <v>39.052118349876764</v>
      </c>
      <c r="AE92" s="72">
        <f>MAX(AO92,AR92)</f>
        <v>38.987840404284455</v>
      </c>
      <c r="AF92" s="100">
        <f>AE29</f>
        <v>147.98168925106248</v>
      </c>
      <c r="AG92" s="96">
        <f>$B$3</f>
        <v>110</v>
      </c>
      <c r="AH92" s="96">
        <f>$B$2</f>
        <v>90</v>
      </c>
      <c r="AI92" s="93">
        <f>$B$5</f>
        <v>0.05</v>
      </c>
      <c r="AJ92" s="93">
        <f>$B$6</f>
        <v>0.02</v>
      </c>
      <c r="AK92" s="93">
        <f>$B$4</f>
        <v>0.3</v>
      </c>
      <c r="AL92" s="89">
        <f>$B$8</f>
        <v>0.3</v>
      </c>
      <c r="AM92" s="89">
        <f>(LN(AF92/AG92)+((AI92-AJ92+(0.5*AK92*AK92))*AL92))/(AK92*SQRT(AL92))</f>
        <v>1.9420305327238334</v>
      </c>
      <c r="AN92" s="89">
        <f>AM92-(AK92*SQRT(AL92))</f>
        <v>1.7777137654722837</v>
      </c>
      <c r="AO92" s="104">
        <f>(AF92*EXP(-AJ92*AL92)*NORMSDIST(AM92))-(AG92*EXP(-AI92*AL92)*NORMSDIST(AN92))</f>
        <v>38.987840404284455</v>
      </c>
      <c r="AP92" s="89">
        <f>(LN(AF92/AH92)+((AI92-AJ92+(0.5*AK92*AK92))*AL92))/(AK92*SQRT(AL92))</f>
        <v>3.1632734942223868</v>
      </c>
      <c r="AQ92" s="89">
        <f>AP92-(AK92*SQRT(AL92))</f>
        <v>2.998956726970837</v>
      </c>
      <c r="AR92" s="108">
        <f>-(AF92*EXP(-AJ92*AL92)*NORMSDIST(-AP92))+(AH92*EXP(-AI92*AL92)*NORMSDIST(-AQ92))</f>
        <v>5.3532063911192473E-3</v>
      </c>
    </row>
    <row r="93" spans="1:44" x14ac:dyDescent="0.25">
      <c r="A93" s="73"/>
      <c r="G93" s="72"/>
      <c r="P93" s="72">
        <f>(($G$4*Q92)+((1-$G$4)*Q94))*EXP(-$B$5*$G$1)</f>
        <v>36.120408724966097</v>
      </c>
      <c r="R93" s="72">
        <f>(($G$4*S92)+((1-$G$4)*S94))*EXP(-$B$5*$G$1)</f>
        <v>36.039897346398035</v>
      </c>
      <c r="T93" s="72">
        <f>(($G$4*U92)+((1-$G$4)*U94))*EXP(-$B$5*$G$1)</f>
        <v>35.960135659359487</v>
      </c>
      <c r="V93" s="72">
        <f>(($G$4*W92)+((1-$G$4)*W94))*EXP(-$B$5*$G$1)</f>
        <v>35.881206312394426</v>
      </c>
      <c r="X93" s="72">
        <f>(($G$4*Y92)+((1-$G$4)*Y94))*EXP(-$B$5*$G$1)</f>
        <v>35.803198695968106</v>
      </c>
      <c r="Z93" s="72">
        <f>(($G$4*AA92)+((1-$G$4)*AA94))*EXP(-$B$5*$G$1)</f>
        <v>35.726209371157644</v>
      </c>
      <c r="AB93" s="72">
        <f>(($G$4*AC92)+((1-$G$4)*AC94))*EXP(-$B$5*$G$1)</f>
        <v>35.650342461610798</v>
      </c>
      <c r="AD93" s="72">
        <f>(($G$4*AE92)+((1-$G$4)*AE94))*EXP(-$B$5*$G$1)</f>
        <v>35.575709974470165</v>
      </c>
      <c r="AF93" s="99"/>
      <c r="AG93" s="89"/>
      <c r="AH93" s="89"/>
      <c r="AI93" s="89"/>
      <c r="AJ93" s="89"/>
      <c r="AK93" s="89"/>
      <c r="AL93" s="89"/>
      <c r="AM93" s="89"/>
      <c r="AN93" s="89"/>
      <c r="AO93" s="103"/>
      <c r="AP93" s="89"/>
      <c r="AQ93" s="89"/>
      <c r="AR93" s="107"/>
    </row>
    <row r="94" spans="1:44" x14ac:dyDescent="0.25">
      <c r="A94" s="73"/>
      <c r="G94" s="72"/>
      <c r="O94" s="72">
        <f>(($G$4*P93)+((1-$G$4)*P95))*EXP(-$B$5*$G$1)</f>
        <v>32.919406341027404</v>
      </c>
      <c r="Q94" s="72">
        <f>(($G$4*R93)+((1-$G$4)*R95))*EXP(-$B$5*$G$1)</f>
        <v>32.828942560639263</v>
      </c>
      <c r="S94" s="72">
        <f>(($G$4*T93)+((1-$G$4)*T95))*EXP(-$B$5*$G$1)</f>
        <v>32.739003884477484</v>
      </c>
      <c r="U94" s="72">
        <f>(($G$4*V93)+((1-$G$4)*V95))*EXP(-$B$5*$G$1)</f>
        <v>32.649644781518795</v>
      </c>
      <c r="W94" s="72">
        <f>(($G$4*X93)+((1-$G$4)*X95))*EXP(-$B$5*$G$1)</f>
        <v>32.560953052587919</v>
      </c>
      <c r="Y94" s="72">
        <f>(($G$4*Z93)+((1-$G$4)*Z95))*EXP(-$B$5*$G$1)</f>
        <v>32.473025403917369</v>
      </c>
      <c r="AA94" s="72">
        <f>(($G$4*AB93)+((1-$G$4)*AB95))*EXP(-$B$5*$G$1)</f>
        <v>32.385968340434822</v>
      </c>
      <c r="AC94" s="72">
        <f>(($G$4*AD93)+((1-$G$4)*AD95))*EXP(-$B$5*$G$1)</f>
        <v>32.299899114677629</v>
      </c>
      <c r="AE94" s="72">
        <f>MAX(AO94,AR94)</f>
        <v>32.21494671315638</v>
      </c>
      <c r="AF94" s="100">
        <f>AE31</f>
        <v>140.90681001276656</v>
      </c>
      <c r="AG94" s="96">
        <f>$B$3</f>
        <v>110</v>
      </c>
      <c r="AH94" s="96">
        <f>$B$2</f>
        <v>90</v>
      </c>
      <c r="AI94" s="93">
        <f>$B$5</f>
        <v>0.05</v>
      </c>
      <c r="AJ94" s="93">
        <f>$B$6</f>
        <v>0.02</v>
      </c>
      <c r="AK94" s="93">
        <f>$B$4</f>
        <v>0.3</v>
      </c>
      <c r="AL94" s="89">
        <f>$B$8</f>
        <v>0.3</v>
      </c>
      <c r="AM94" s="89">
        <f>(LN(AF94/AG94)+((AI94-AJ94+(0.5*AK94*AK94))*AL94))/(AK94*SQRT(AL94))</f>
        <v>1.6438881357238611</v>
      </c>
      <c r="AN94" s="89">
        <f>AM94-(AK94*SQRT(AL94))</f>
        <v>1.4795713684723113</v>
      </c>
      <c r="AO94" s="104">
        <f>(AF94*EXP(-AJ94*AL94)*NORMSDIST(AM94))-(AG94*EXP(-AI94*AL94)*NORMSDIST(AN94))</f>
        <v>32.21494671315638</v>
      </c>
      <c r="AP94" s="89">
        <f>(LN(AF94/AH94)+((AI94-AJ94+(0.5*AK94*AK94))*AL94))/(AK94*SQRT(AL94))</f>
        <v>2.865131097222414</v>
      </c>
      <c r="AQ94" s="89">
        <f>AP94-(AK94*SQRT(AL94))</f>
        <v>2.7008143299708642</v>
      </c>
      <c r="AR94" s="108">
        <f>-(AF94*EXP(-AJ94*AL94)*NORMSDIST(-AP94))+(AH94*EXP(-AI94*AL94)*NORMSDIST(-AQ94))</f>
        <v>1.4711781286824377E-2</v>
      </c>
    </row>
    <row r="95" spans="1:44" x14ac:dyDescent="0.25">
      <c r="A95" s="73"/>
      <c r="G95" s="72"/>
      <c r="N95" s="72">
        <f>(($G$4*O94)+((1-$G$4)*O96))*EXP(-$B$5*$G$1)</f>
        <v>29.867016021811011</v>
      </c>
      <c r="P95" s="72">
        <f>(($G$4*Q94)+((1-$G$4)*Q96))*EXP(-$B$5*$G$1)</f>
        <v>29.766290573783646</v>
      </c>
      <c r="R95" s="72">
        <f>(($G$4*S94)+((1-$G$4)*S96))*EXP(-$B$5*$G$1)</f>
        <v>29.665895236082836</v>
      </c>
      <c r="T95" s="72">
        <f>(($G$4*U94)+((1-$G$4)*U96))*EXP(-$B$5*$G$1)</f>
        <v>29.565802590028728</v>
      </c>
      <c r="V95" s="72">
        <f>(($G$4*W94)+((1-$G$4)*W96))*EXP(-$B$5*$G$1)</f>
        <v>29.466039190317318</v>
      </c>
      <c r="X95" s="72">
        <f>(($G$4*Y94)+((1-$G$4)*Y96))*EXP(-$B$5*$G$1)</f>
        <v>29.366691319363142</v>
      </c>
      <c r="Z95" s="72">
        <f>(($G$4*AA94)+((1-$G$4)*AA96))*EXP(-$B$5*$G$1)</f>
        <v>29.267855891593289</v>
      </c>
      <c r="AB95" s="72">
        <f>(($G$4*AC94)+((1-$G$4)*AC96))*EXP(-$B$5*$G$1)</f>
        <v>29.169641844580685</v>
      </c>
      <c r="AD95" s="72">
        <f>(($G$4*AE94)+((1-$G$4)*AE96))*EXP(-$B$5*$G$1)</f>
        <v>29.072171711473036</v>
      </c>
      <c r="AF95" s="99"/>
      <c r="AG95" s="89"/>
      <c r="AH95" s="89"/>
      <c r="AI95" s="89"/>
      <c r="AJ95" s="89"/>
      <c r="AK95" s="89"/>
      <c r="AL95" s="89"/>
      <c r="AM95" s="89"/>
      <c r="AN95" s="89"/>
      <c r="AO95" s="103"/>
      <c r="AP95" s="89"/>
      <c r="AQ95" s="89"/>
      <c r="AR95" s="107"/>
    </row>
    <row r="96" spans="1:44" x14ac:dyDescent="0.25">
      <c r="A96" s="73"/>
      <c r="G96" s="72"/>
      <c r="M96" s="72">
        <f>(($G$4*N95)+((1-$G$4)*N97))*EXP(-$B$5*$G$1)</f>
        <v>26.970516735045493</v>
      </c>
      <c r="O96" s="72">
        <f>(($G$4*P95)+((1-$G$4)*P97))*EXP(-$B$5*$G$1)</f>
        <v>26.859277028837237</v>
      </c>
      <c r="Q96" s="72">
        <f>(($G$4*R95)+((1-$G$4)*R97))*EXP(-$B$5*$G$1)</f>
        <v>26.748306457743837</v>
      </c>
      <c r="S96" s="72">
        <f>(($G$4*T95)+((1-$G$4)*T97))*EXP(-$B$5*$G$1)</f>
        <v>26.637472807700888</v>
      </c>
      <c r="U96" s="72">
        <f>(($G$4*V95)+((1-$G$4)*V97))*EXP(-$B$5*$G$1)</f>
        <v>26.526667419956041</v>
      </c>
      <c r="W96" s="72">
        <f>(($G$4*X95)+((1-$G$4)*X97))*EXP(-$B$5*$G$1)</f>
        <v>26.415856118675617</v>
      </c>
      <c r="Y96" s="72">
        <f>(($G$4*Z95)+((1-$G$4)*Z97))*EXP(-$B$5*$G$1)</f>
        <v>26.305114904504876</v>
      </c>
      <c r="AA96" s="72">
        <f>(($G$4*AB95)+((1-$G$4)*AB97))*EXP(-$B$5*$G$1)</f>
        <v>26.194531243704077</v>
      </c>
      <c r="AC96" s="72">
        <f>(($G$4*AD95)+((1-$G$4)*AD97))*EXP(-$B$5*$G$1)</f>
        <v>26.084205898828841</v>
      </c>
      <c r="AE96" s="72">
        <f>MAX(AO96,AR96)</f>
        <v>25.974255083503678</v>
      </c>
      <c r="AF96" s="100">
        <f>AE33</f>
        <v>134.17017475918112</v>
      </c>
      <c r="AG96" s="96">
        <f>$B$3</f>
        <v>110</v>
      </c>
      <c r="AH96" s="96">
        <f>$B$2</f>
        <v>90</v>
      </c>
      <c r="AI96" s="93">
        <f>$B$5</f>
        <v>0.05</v>
      </c>
      <c r="AJ96" s="93">
        <f>$B$6</f>
        <v>0.02</v>
      </c>
      <c r="AK96" s="93">
        <f>$B$4</f>
        <v>0.3</v>
      </c>
      <c r="AL96" s="89">
        <f>$B$8</f>
        <v>0.3</v>
      </c>
      <c r="AM96" s="89">
        <f>(LN(AF96/AG96)+((AI96-AJ96+(0.5*AK96*AK96))*AL96))/(AK96*SQRT(AL96))</f>
        <v>1.3457457387238865</v>
      </c>
      <c r="AN96" s="89">
        <f>AM96-(AK96*SQRT(AL96))</f>
        <v>1.1814289714723367</v>
      </c>
      <c r="AO96" s="104">
        <f>(AF96*EXP(-AJ96*AL96)*NORMSDIST(AM96))-(AG96*EXP(-AI96*AL96)*NORMSDIST(AN96))</f>
        <v>25.974255083503678</v>
      </c>
      <c r="AP96" s="89">
        <f>(LN(AF96/AH96)+((AI96-AJ96+(0.5*AK96*AK96))*AL96))/(AK96*SQRT(AL96))</f>
        <v>2.5669887002224399</v>
      </c>
      <c r="AQ96" s="89">
        <f>AP96-(AK96*SQRT(AL96))</f>
        <v>2.4026719329708901</v>
      </c>
      <c r="AR96" s="108">
        <f>-(AF96*EXP(-AJ96*AL96)*NORMSDIST(-AP96))+(AH96*EXP(-AI96*AL96)*NORMSDIST(-AQ96))</f>
        <v>3.7424053367359766E-2</v>
      </c>
    </row>
    <row r="97" spans="1:44" x14ac:dyDescent="0.25">
      <c r="A97" s="73"/>
      <c r="G97" s="72"/>
      <c r="L97" s="72">
        <f>(($G$4*M96)+((1-$G$4)*M98))*EXP(-$B$5*$G$1)</f>
        <v>24.237617441326048</v>
      </c>
      <c r="N97" s="72">
        <f>(($G$4*O96)+((1-$G$4)*O98))*EXP(-$B$5*$G$1)</f>
        <v>24.115477824150073</v>
      </c>
      <c r="P97" s="72">
        <f>(($G$4*Q96)+((1-$G$4)*Q98))*EXP(-$B$5*$G$1)</f>
        <v>23.993735475861445</v>
      </c>
      <c r="R97" s="72">
        <f>(($G$4*S96)+((1-$G$4)*S98))*EXP(-$B$5*$G$1)</f>
        <v>23.872201961961967</v>
      </c>
      <c r="T97" s="72">
        <f>(($G$4*U96)+((1-$G$4)*U98))*EXP(-$B$5*$G$1)</f>
        <v>23.750641037248112</v>
      </c>
      <c r="V97" s="72">
        <f>(($G$4*W96)+((1-$G$4)*W98))*EXP(-$B$5*$G$1)</f>
        <v>23.628809856722619</v>
      </c>
      <c r="X97" s="72">
        <f>(($G$4*Y96)+((1-$G$4)*Y98))*EXP(-$B$5*$G$1)</f>
        <v>23.506554743000745</v>
      </c>
      <c r="Z97" s="72">
        <f>(($G$4*AA96)+((1-$G$4)*AA98))*EXP(-$B$5*$G$1)</f>
        <v>23.383931003456063</v>
      </c>
      <c r="AB97" s="72">
        <f>(($G$4*AC96)+((1-$G$4)*AC98))*EXP(-$B$5*$G$1)</f>
        <v>23.261004865693284</v>
      </c>
      <c r="AD97" s="72">
        <f>(($G$4*AE96)+((1-$G$4)*AE98))*EXP(-$B$5*$G$1)</f>
        <v>23.137855565596009</v>
      </c>
      <c r="AF97" s="99"/>
      <c r="AG97" s="89"/>
      <c r="AH97" s="89"/>
      <c r="AI97" s="89"/>
      <c r="AJ97" s="89"/>
      <c r="AK97" s="89"/>
      <c r="AL97" s="89"/>
      <c r="AM97" s="89"/>
      <c r="AN97" s="89"/>
      <c r="AO97" s="103"/>
      <c r="AP97" s="89"/>
      <c r="AQ97" s="89"/>
      <c r="AR97" s="107"/>
    </row>
    <row r="98" spans="1:44" x14ac:dyDescent="0.25">
      <c r="A98" s="73"/>
      <c r="G98" s="72"/>
      <c r="K98" s="72">
        <f>(($G$4*L97)+((1-$G$4)*L99))*EXP(-$B$5*$G$1)</f>
        <v>21.676730446717642</v>
      </c>
      <c r="M98" s="72">
        <f>(($G$4*N97)+((1-$G$4)*N99))*EXP(-$B$5*$G$1)</f>
        <v>21.543033536371617</v>
      </c>
      <c r="O98" s="72">
        <f>(($G$4*P97)+((1-$G$4)*P99))*EXP(-$B$5*$G$1)</f>
        <v>21.410001521626093</v>
      </c>
      <c r="Q98" s="72">
        <f>(($G$4*R97)+((1-$G$4)*R99))*EXP(-$B$5*$G$1)</f>
        <v>21.277494131555176</v>
      </c>
      <c r="S98" s="72">
        <f>(($G$4*T97)+((1-$G$4)*T99))*EXP(-$B$5*$G$1)</f>
        <v>21.145267043196924</v>
      </c>
      <c r="U98" s="72">
        <f>(($G$4*V97)+((1-$G$4)*V99))*EXP(-$B$5*$G$1)</f>
        <v>21.012957305362406</v>
      </c>
      <c r="W98" s="72">
        <f>(($G$4*X97)+((1-$G$4)*X99))*EXP(-$B$5*$G$1)</f>
        <v>20.880114939221126</v>
      </c>
      <c r="Y98" s="72">
        <f>(($G$4*Z97)+((1-$G$4)*Z99))*EXP(-$B$5*$G$1)</f>
        <v>20.746358354715674</v>
      </c>
      <c r="AA98" s="72">
        <f>(($G$4*AB97)+((1-$G$4)*AB99))*EXP(-$B$5*$G$1)</f>
        <v>20.611710998530285</v>
      </c>
      <c r="AC98" s="72">
        <f>(($G$4*AD97)+((1-$G$4)*AD99))*EXP(-$B$5*$G$1)</f>
        <v>20.476204888086606</v>
      </c>
      <c r="AE98" s="72">
        <f>MAX(AO98,AR98)</f>
        <v>20.339882634794748</v>
      </c>
      <c r="AF98" s="100">
        <f>AE35</f>
        <v>127.75561233185398</v>
      </c>
      <c r="AG98" s="96">
        <f>$B$3</f>
        <v>110</v>
      </c>
      <c r="AH98" s="96">
        <f>$B$2</f>
        <v>90</v>
      </c>
      <c r="AI98" s="93">
        <f>$B$5</f>
        <v>0.05</v>
      </c>
      <c r="AJ98" s="93">
        <f>$B$6</f>
        <v>0.02</v>
      </c>
      <c r="AK98" s="93">
        <f>$B$4</f>
        <v>0.3</v>
      </c>
      <c r="AL98" s="89">
        <f>$B$8</f>
        <v>0.3</v>
      </c>
      <c r="AM98" s="89">
        <f>(LN(AF98/AG98)+((AI98-AJ98+(0.5*AK98*AK98))*AL98))/(AK98*SQRT(AL98))</f>
        <v>1.0476033417239135</v>
      </c>
      <c r="AN98" s="89">
        <f>AM98-(AK98*SQRT(AL98))</f>
        <v>0.88328657447236369</v>
      </c>
      <c r="AO98" s="104">
        <f>(AF98*EXP(-AJ98*AL98)*NORMSDIST(AM98))-(AG98*EXP(-AI98*AL98)*NORMSDIST(AN98))</f>
        <v>20.339882634794748</v>
      </c>
      <c r="AP98" s="89">
        <f>(LN(AF98/AH98)+((AI98-AJ98+(0.5*AK98*AK98))*AL98))/(AK98*SQRT(AL98))</f>
        <v>2.2688463032224662</v>
      </c>
      <c r="AQ98" s="89">
        <f>AP98-(AK98*SQRT(AL98))</f>
        <v>2.1045295359709164</v>
      </c>
      <c r="AR98" s="108">
        <f>-(AF98*EXP(-AJ98*AL98)*NORMSDIST(-AP98))+(AH98*EXP(-AI98*AL98)*NORMSDIST(-AQ98))</f>
        <v>8.8249429077824848E-2</v>
      </c>
    </row>
    <row r="99" spans="1:44" x14ac:dyDescent="0.25">
      <c r="A99" s="73"/>
      <c r="G99" s="72"/>
      <c r="J99" s="72">
        <f>(($G$4*K98)+((1-$G$4)*K100))*EXP(-$B$5*$G$1)</f>
        <v>19.297231577977069</v>
      </c>
      <c r="L99" s="72">
        <f>(($G$4*M98)+((1-$G$4)*M100))*EXP(-$B$5*$G$1)</f>
        <v>19.151059684784986</v>
      </c>
      <c r="N99" s="72">
        <f>(($G$4*O98)+((1-$G$4)*O100))*EXP(-$B$5*$G$1)</f>
        <v>19.005810664729271</v>
      </c>
      <c r="P99" s="72">
        <f>(($G$4*Q98)+((1-$G$4)*Q100))*EXP(-$B$5*$G$1)</f>
        <v>18.86149243256931</v>
      </c>
      <c r="R99" s="72">
        <f>(($G$4*S98)+((1-$G$4)*S100))*EXP(-$B$5*$G$1)</f>
        <v>18.718012396205715</v>
      </c>
      <c r="T99" s="72">
        <f>(($G$4*U98)+((1-$G$4)*U100))*EXP(-$B$5*$G$1)</f>
        <v>18.575118058347901</v>
      </c>
      <c r="V99" s="72">
        <f>(($G$4*W98)+((1-$G$4)*W100))*EXP(-$B$5*$G$1)</f>
        <v>18.4323270971211</v>
      </c>
      <c r="X99" s="72">
        <f>(($G$4*Y98)+((1-$G$4)*Y100))*EXP(-$B$5*$G$1)</f>
        <v>18.288895342527574</v>
      </c>
      <c r="Z99" s="72">
        <f>(($G$4*AA98)+((1-$G$4)*AA100))*EXP(-$B$5*$G$1)</f>
        <v>18.144007605895318</v>
      </c>
      <c r="AB99" s="72">
        <f>(($G$4*AC98)+((1-$G$4)*AC100))*EXP(-$B$5*$G$1)</f>
        <v>17.997644916390804</v>
      </c>
      <c r="AD99" s="72">
        <f>(($G$4*AE98)+((1-$G$4)*AE100))*EXP(-$B$5*$G$1)</f>
        <v>17.849792478147663</v>
      </c>
      <c r="AF99" s="99"/>
      <c r="AG99" s="89"/>
      <c r="AH99" s="89"/>
      <c r="AI99" s="89"/>
      <c r="AJ99" s="89"/>
      <c r="AK99" s="89"/>
      <c r="AL99" s="89"/>
      <c r="AM99" s="89"/>
      <c r="AN99" s="89"/>
      <c r="AO99" s="103"/>
      <c r="AP99" s="89"/>
      <c r="AQ99" s="89"/>
      <c r="AR99" s="107"/>
    </row>
    <row r="100" spans="1:44" x14ac:dyDescent="0.25">
      <c r="A100" s="73"/>
      <c r="G100" s="72"/>
      <c r="I100" s="72">
        <f>(($G$4*J99)+((1-$G$4)*J101))*EXP(-$B$5*$G$1)</f>
        <v>17.109522167288041</v>
      </c>
      <c r="K100" s="72">
        <f>(($G$4*L99)+((1-$G$4)*L101))*EXP(-$B$5*$G$1)</f>
        <v>16.949894009061147</v>
      </c>
      <c r="M100" s="72">
        <f>(($G$4*N99)+((1-$G$4)*N101))*EXP(-$B$5*$G$1)</f>
        <v>16.791251493581751</v>
      </c>
      <c r="O100" s="72">
        <f>(($G$4*P99)+((1-$G$4)*P101))*EXP(-$B$5*$G$1)</f>
        <v>16.633788344124248</v>
      </c>
      <c r="Q100" s="72">
        <f>(($G$4*R99)+((1-$G$4)*R101))*EXP(-$B$5*$G$1)</f>
        <v>16.477659461557636</v>
      </c>
      <c r="S100" s="72">
        <f>(($G$4*T99)+((1-$G$4)*T101))*EXP(-$B$5*$G$1)</f>
        <v>16.322922689501851</v>
      </c>
      <c r="U100" s="72">
        <f>(($G$4*V99)+((1-$G$4)*V101))*EXP(-$B$5*$G$1)</f>
        <v>16.169434918838199</v>
      </c>
      <c r="W100" s="72">
        <f>(($G$4*X99)+((1-$G$4)*X101))*EXP(-$B$5*$G$1)</f>
        <v>16.016681427320375</v>
      </c>
      <c r="Y100" s="72">
        <f>(($G$4*Z99)+((1-$G$4)*Z101))*EXP(-$B$5*$G$1)</f>
        <v>15.863557918806954</v>
      </c>
      <c r="AA100" s="72">
        <f>(($G$4*AB99)+((1-$G$4)*AB101))*EXP(-$B$5*$G$1)</f>
        <v>15.708416846499059</v>
      </c>
      <c r="AC100" s="72">
        <f>(($G$4*AD99)+((1-$G$4)*AD101))*EXP(-$B$5*$G$1)</f>
        <v>15.551188653272797</v>
      </c>
      <c r="AE100" s="72">
        <f>MAX(AO100,AR100)</f>
        <v>15.391801592912799</v>
      </c>
      <c r="AF100" s="100">
        <f>AE37</f>
        <v>121.64772470172325</v>
      </c>
      <c r="AG100" s="96">
        <f>$B$3</f>
        <v>110</v>
      </c>
      <c r="AH100" s="96">
        <f>$B$2</f>
        <v>90</v>
      </c>
      <c r="AI100" s="93">
        <f>$B$5</f>
        <v>0.05</v>
      </c>
      <c r="AJ100" s="93">
        <f>$B$6</f>
        <v>0.02</v>
      </c>
      <c r="AK100" s="93">
        <f>$B$4</f>
        <v>0.3</v>
      </c>
      <c r="AL100" s="89">
        <f>$B$8</f>
        <v>0.3</v>
      </c>
      <c r="AM100" s="89">
        <f>(LN(AF100/AG100)+((AI100-AJ100+(0.5*AK100*AK100))*AL100))/(AK100*SQRT(AL100))</f>
        <v>0.74946094472393998</v>
      </c>
      <c r="AN100" s="89">
        <f>AM100-(AK100*SQRT(AL100))</f>
        <v>0.58514417747239023</v>
      </c>
      <c r="AO100" s="104">
        <f>(AF100*EXP(-AJ100*AL100)*NORMSDIST(AM100))-(AG100*EXP(-AI100*AL100)*NORMSDIST(AN100))</f>
        <v>15.391801592912799</v>
      </c>
      <c r="AP100" s="89">
        <f>(LN(AF100/AH100)+((AI100-AJ100+(0.5*AK100*AK100))*AL100))/(AK100*SQRT(AL100))</f>
        <v>1.9707039062224934</v>
      </c>
      <c r="AQ100" s="89">
        <f>AP100-(AK100*SQRT(AL100))</f>
        <v>1.8063871389709436</v>
      </c>
      <c r="AR100" s="108">
        <f>-(AF100*EXP(-AJ100*AL100)*NORMSDIST(-AP100))+(AH100*EXP(-AI100*AL100)*NORMSDIST(-AQ100))</f>
        <v>0.19323851203013831</v>
      </c>
    </row>
    <row r="101" spans="1:44" x14ac:dyDescent="0.25">
      <c r="A101" s="73"/>
      <c r="G101" s="72"/>
      <c r="H101" s="72">
        <f>(($G$4*I100)+((1-$G$4)*I102))*EXP(-$B$5*$G$1)</f>
        <v>15.124756155358698</v>
      </c>
      <c r="J101" s="72">
        <f>(($G$4*K100)+((1-$G$4)*K102))*EXP(-$B$5*$G$1)</f>
        <v>14.950961916067318</v>
      </c>
      <c r="L101" s="72">
        <f>(($G$4*M100)+((1-$G$4)*M102))*EXP(-$B$5*$G$1)</f>
        <v>14.777880895867796</v>
      </c>
      <c r="N101" s="72">
        <f>(($G$4*O100)+((1-$G$4)*O102))*EXP(-$B$5*$G$1)</f>
        <v>14.605848432208209</v>
      </c>
      <c r="P101" s="72">
        <f>(($G$4*Q100)+((1-$G$4)*Q102))*EXP(-$B$5*$G$1)</f>
        <v>14.435242674797207</v>
      </c>
      <c r="R101" s="72">
        <f>(($G$4*S100)+((1-$G$4)*S102))*EXP(-$B$5*$G$1)</f>
        <v>14.266464108082001</v>
      </c>
      <c r="T101" s="72">
        <f>(($G$4*U100)+((1-$G$4)*U102))*EXP(-$B$5*$G$1)</f>
        <v>14.099878431761825</v>
      </c>
      <c r="V101" s="72">
        <f>(($G$4*W100)+((1-$G$4)*W102))*EXP(-$B$5*$G$1)</f>
        <v>13.935678896452613</v>
      </c>
      <c r="X101" s="72">
        <f>(($G$4*Y100)+((1-$G$4)*Y102))*EXP(-$B$5*$G$1)</f>
        <v>13.773578020312211</v>
      </c>
      <c r="Z101" s="72">
        <f>(($G$4*AA100)+((1-$G$4)*AA102))*EXP(-$B$5*$G$1)</f>
        <v>13.612184017006649</v>
      </c>
      <c r="AB101" s="72">
        <f>(($G$4*AC100)+((1-$G$4)*AC102))*EXP(-$B$5*$G$1)</f>
        <v>13.448232910913523</v>
      </c>
      <c r="AD101" s="72">
        <f>(($G$4*AE100)+((1-$G$4)*AE102))*EXP(-$B$5*$G$1)</f>
        <v>13.281600782700142</v>
      </c>
      <c r="AF101" s="99"/>
      <c r="AG101" s="89"/>
      <c r="AH101" s="89"/>
      <c r="AI101" s="89"/>
      <c r="AJ101" s="89"/>
      <c r="AK101" s="89"/>
      <c r="AL101" s="89"/>
      <c r="AM101" s="89"/>
      <c r="AN101" s="89"/>
      <c r="AO101" s="103"/>
      <c r="AP101" s="89"/>
      <c r="AQ101" s="89"/>
      <c r="AR101" s="107"/>
    </row>
    <row r="102" spans="1:44" x14ac:dyDescent="0.25">
      <c r="A102" s="73"/>
      <c r="G102" s="72">
        <f>(($G$4*H101)+((1-$G$4)*H103))*EXP(-$B$5*$G$1)</f>
        <v>13.354200715921465</v>
      </c>
      <c r="I102" s="72">
        <f>(($G$4*J101)+((1-$G$4)*J103))*EXP(-$B$5*$G$1)</f>
        <v>13.166171242878102</v>
      </c>
      <c r="K102" s="72">
        <f>(($G$4*L101)+((1-$G$4)*L103))*EXP(-$B$5*$G$1)</f>
        <v>12.978210689552274</v>
      </c>
      <c r="M102" s="72">
        <f>(($G$4*N101)+((1-$G$4)*N103))*EXP(-$B$5*$G$1)</f>
        <v>12.790693620243074</v>
      </c>
      <c r="O102" s="72">
        <f>(($G$4*P101)+((1-$G$4)*P103))*EXP(-$B$5*$G$1)</f>
        <v>12.604096057857261</v>
      </c>
      <c r="Q102" s="72">
        <f>(($G$4*R101)+((1-$G$4)*R103))*EXP(-$B$5*$G$1)</f>
        <v>12.419017836923361</v>
      </c>
      <c r="S102" s="72">
        <f>(($G$4*T101)+((1-$G$4)*T103))*EXP(-$B$5*$G$1)</f>
        <v>12.236199562804956</v>
      </c>
      <c r="U102" s="72">
        <f>(($G$4*V101)+((1-$G$4)*V103))*EXP(-$B$5*$G$1)</f>
        <v>12.056511849971207</v>
      </c>
      <c r="W102" s="72">
        <f>(($G$4*X101)+((1-$G$4)*X103))*EXP(-$B$5*$G$1)</f>
        <v>11.880850294020625</v>
      </c>
      <c r="Y102" s="72">
        <f>(($G$4*Z101)+((1-$G$4)*Z103))*EXP(-$B$5*$G$1)</f>
        <v>11.709737395350965</v>
      </c>
      <c r="AA102" s="72">
        <f>(($G$4*AB101)+((1-$G$4)*AB103))*EXP(-$B$5*$G$1)</f>
        <v>11.542034124379503</v>
      </c>
      <c r="AC102" s="72">
        <f>(($G$4*AD101)+((1-$G$4)*AD103))*EXP(-$B$5*$G$1)</f>
        <v>11.371305891875902</v>
      </c>
      <c r="AE102" s="72">
        <f>MAX(AO102,AR102)</f>
        <v>11.197376947295709</v>
      </c>
      <c r="AF102" s="100">
        <f>AE39</f>
        <v>115.83185000645598</v>
      </c>
      <c r="AG102" s="96">
        <f>$B$3</f>
        <v>110</v>
      </c>
      <c r="AH102" s="96">
        <f>$B$2</f>
        <v>90</v>
      </c>
      <c r="AI102" s="93">
        <f>$B$5</f>
        <v>0.05</v>
      </c>
      <c r="AJ102" s="93">
        <f>$B$6</f>
        <v>0.02</v>
      </c>
      <c r="AK102" s="93">
        <f>$B$4</f>
        <v>0.3</v>
      </c>
      <c r="AL102" s="89">
        <f>$B$8</f>
        <v>0.3</v>
      </c>
      <c r="AM102" s="89">
        <f>(LN(AF102/AG102)+((AI102-AJ102+(0.5*AK102*AK102))*AL102))/(AK102*SQRT(AL102))</f>
        <v>0.45131854772396707</v>
      </c>
      <c r="AN102" s="89">
        <f>AM102-(AK102*SQRT(AL102))</f>
        <v>0.28700178047241726</v>
      </c>
      <c r="AO102" s="104">
        <f>(AF102*EXP(-AJ102*AL102)*NORMSDIST(AM102))-(AG102*EXP(-AI102*AL102)*NORMSDIST(AN102))</f>
        <v>11.197376947295709</v>
      </c>
      <c r="AP102" s="89">
        <f>(LN(AF102/AH102)+((AI102-AJ102+(0.5*AK102*AK102))*AL102))/(AK102*SQRT(AL102))</f>
        <v>1.6725615092225206</v>
      </c>
      <c r="AQ102" s="89">
        <f>AP102-(AK102*SQRT(AL102))</f>
        <v>1.5082447419709708</v>
      </c>
      <c r="AR102" s="108">
        <f>-(AF102*EXP(-AJ102*AL102)*NORMSDIST(-AP102))+(AH102*EXP(-AI102*AL102)*NORMSDIST(-AQ102))</f>
        <v>0.39369707661966746</v>
      </c>
    </row>
    <row r="103" spans="1:44" x14ac:dyDescent="0.25">
      <c r="A103" s="73"/>
      <c r="F103" s="72">
        <f>(($G$4*G102)+((1-$G$4)*G104))*EXP(-$B$5*$G$1)</f>
        <v>11.808313280064866</v>
      </c>
      <c r="H103" s="72">
        <f>(($G$4*I102)+((1-$G$4)*I104))*EXP(-$B$5*$G$1)</f>
        <v>11.606908957763057</v>
      </c>
      <c r="J103" s="72">
        <f>(($G$4*K102)+((1-$G$4)*K104))*EXP(-$B$5*$G$1)</f>
        <v>11.404635127096197</v>
      </c>
      <c r="L103" s="72">
        <f>(($G$4*M102)+((1-$G$4)*M104))*EXP(-$B$5*$G$1)</f>
        <v>11.201791201050213</v>
      </c>
      <c r="N103" s="72">
        <f>(($G$4*O102)+((1-$G$4)*O104))*EXP(-$B$5*$G$1)</f>
        <v>10.99879090057507</v>
      </c>
      <c r="P103" s="72">
        <f>(($G$4*Q102)+((1-$G$4)*Q104))*EXP(-$B$5*$G$1)</f>
        <v>10.796207642123559</v>
      </c>
      <c r="R103" s="72">
        <f>(($G$4*S102)+((1-$G$4)*S104))*EXP(-$B$5*$G$1)</f>
        <v>10.594839387809499</v>
      </c>
      <c r="T103" s="72">
        <f>(($G$4*U102)+((1-$G$4)*U104))*EXP(-$B$5*$G$1)</f>
        <v>10.395799092282052</v>
      </c>
      <c r="V103" s="72">
        <f>(($G$4*W102)+((1-$G$4)*W104))*EXP(-$B$5*$G$1)</f>
        <v>10.200629804667228</v>
      </c>
      <c r="X103" s="72">
        <f>(($G$4*Y102)+((1-$G$4)*Y104))*EXP(-$B$5*$G$1)</f>
        <v>10.011401173665737</v>
      </c>
      <c r="Z103" s="72">
        <f>(($G$4*AA102)+((1-$G$4)*AA104))*EXP(-$B$5*$G$1)</f>
        <v>9.8305347691722709</v>
      </c>
      <c r="AB103" s="72">
        <f>(($G$4*AC102)+((1-$G$4)*AC104))*EXP(-$B$5*$G$1)</f>
        <v>9.6589984742648127</v>
      </c>
      <c r="AD103" s="72">
        <f>(($G$4*AE102)+((1-$G$4)*AE104))*EXP(-$B$5*$G$1)</f>
        <v>9.4840940660534265</v>
      </c>
      <c r="AF103" s="99"/>
      <c r="AG103" s="89"/>
      <c r="AH103" s="89"/>
      <c r="AI103" s="89"/>
      <c r="AJ103" s="89"/>
      <c r="AK103" s="89"/>
      <c r="AL103" s="89"/>
      <c r="AM103" s="89"/>
      <c r="AN103" s="89"/>
      <c r="AO103" s="103"/>
      <c r="AP103" s="89"/>
      <c r="AQ103" s="89"/>
      <c r="AR103" s="107"/>
    </row>
    <row r="104" spans="1:44" x14ac:dyDescent="0.25">
      <c r="A104" s="73"/>
      <c r="E104" s="72">
        <f>(($G$4*F103)+((1-$G$4)*F105))*EXP(-$B$5*$G$1)</f>
        <v>10.495698931451562</v>
      </c>
      <c r="G104" s="72">
        <f>(($G$4*H103)+((1-$G$4)*H105))*EXP(-$B$5*$G$1)</f>
        <v>10.282836277258966</v>
      </c>
      <c r="I104" s="72">
        <f>(($G$4*J103)+((1-$G$4)*J105))*EXP(-$B$5*$G$1)</f>
        <v>10.068032104627207</v>
      </c>
      <c r="K104" s="72">
        <f>(($G$4*L103)+((1-$G$4)*L105))*EXP(-$B$5*$G$1)</f>
        <v>9.8514270480753261</v>
      </c>
      <c r="M104" s="72">
        <f>(($G$4*N103)+((1-$G$4)*N105))*EXP(-$B$5*$G$1)</f>
        <v>9.6332461791281663</v>
      </c>
      <c r="O104" s="72">
        <f>(($G$4*P103)+((1-$G$4)*P105))*EXP(-$B$5*$G$1)</f>
        <v>9.4138416980667632</v>
      </c>
      <c r="Q104" s="72">
        <f>(($G$4*R103)+((1-$G$4)*R105))*EXP(-$B$5*$G$1)</f>
        <v>9.1937611988487777</v>
      </c>
      <c r="S104" s="72">
        <f>(($G$4*T103)+((1-$G$4)*T105))*EXP(-$B$5*$G$1)</f>
        <v>8.9738600638965913</v>
      </c>
      <c r="U104" s="72">
        <f>(($G$4*V103)+((1-$G$4)*V105))*EXP(-$B$5*$G$1)</f>
        <v>8.7554923567562568</v>
      </c>
      <c r="W104" s="72">
        <f>(($G$4*X103)+((1-$G$4)*X105))*EXP(-$B$5*$G$1)</f>
        <v>8.5408443406141714</v>
      </c>
      <c r="Y104" s="72">
        <f>(($G$4*Z103)+((1-$G$4)*Z105))*EXP(-$B$5*$G$1)</f>
        <v>8.3335216076881178</v>
      </c>
      <c r="AA104" s="72">
        <f>(($G$4*AB103)+((1-$G$4)*AB105))*EXP(-$B$5*$G$1)</f>
        <v>8.1394789857917065</v>
      </c>
      <c r="AC104" s="72">
        <f>(($G$4*AD103)+((1-$G$4)*AD105))*EXP(-$B$5*$G$1)</f>
        <v>7.9670272868556031</v>
      </c>
      <c r="AE104" s="72">
        <f>MAX(AO104,AR104)</f>
        <v>7.7910391977994067</v>
      </c>
      <c r="AF104" s="100">
        <f>AE41</f>
        <v>110.29402735494034</v>
      </c>
      <c r="AG104" s="96">
        <f>$B$3</f>
        <v>110</v>
      </c>
      <c r="AH104" s="96">
        <f>$B$2</f>
        <v>90</v>
      </c>
      <c r="AI104" s="93">
        <f>$B$5</f>
        <v>0.05</v>
      </c>
      <c r="AJ104" s="93">
        <f>$B$6</f>
        <v>0.02</v>
      </c>
      <c r="AK104" s="93">
        <f>$B$4</f>
        <v>0.3</v>
      </c>
      <c r="AL104" s="89">
        <f>$B$8</f>
        <v>0.3</v>
      </c>
      <c r="AM104" s="89">
        <f>(LN(AF104/AG104)+((AI104-AJ104+(0.5*AK104*AK104))*AL104))/(AK104*SQRT(AL104))</f>
        <v>0.15317615072399474</v>
      </c>
      <c r="AN104" s="89">
        <f>AM104-(AK104*SQRT(AL104))</f>
        <v>-1.1140616527555075E-2</v>
      </c>
      <c r="AO104" s="104">
        <f>(AF104*EXP(-AJ104*AL104)*NORMSDIST(AM104))-(AG104*EXP(-AI104*AL104)*NORMSDIST(AN104))</f>
        <v>7.7910391977994067</v>
      </c>
      <c r="AP104" s="89">
        <f>(LN(AF104/AH104)+((AI104-AJ104+(0.5*AK104*AK104))*AL104))/(AK104*SQRT(AL104))</f>
        <v>1.3744191122225478</v>
      </c>
      <c r="AQ104" s="89">
        <f>AP104-(AK104*SQRT(AL104))</f>
        <v>1.210102344970998</v>
      </c>
      <c r="AR104" s="108">
        <f>-(AF104*EXP(-AJ104*AL104)*NORMSDIST(-AP104))+(AH104*EXP(-AI104*AL104)*NORMSDIST(-AQ104))</f>
        <v>0.74803593224814335</v>
      </c>
    </row>
    <row r="105" spans="1:44" x14ac:dyDescent="0.25">
      <c r="A105" s="73"/>
      <c r="D105" s="72">
        <f>(($G$4*E104)+((1-$G$4)*E106))*EXP(-$B$5*$G$1)</f>
        <v>9.4221382515644265</v>
      </c>
      <c r="F105" s="72">
        <f>(($G$4*G104)+((1-$G$4)*G106))*EXP(-$B$5*$G$1)</f>
        <v>9.2007267125653662</v>
      </c>
      <c r="H105" s="72">
        <f>(($G$4*I104)+((1-$G$4)*I106))*EXP(-$B$5*$G$1)</f>
        <v>8.9763575339621848</v>
      </c>
      <c r="J105" s="72">
        <f>(($G$4*K104)+((1-$G$4)*K106))*EXP(-$B$5*$G$1)</f>
        <v>8.7489822535820583</v>
      </c>
      <c r="L105" s="72">
        <f>(($G$4*M104)+((1-$G$4)*M106))*EXP(-$B$5*$G$1)</f>
        <v>8.5185841118246834</v>
      </c>
      <c r="N105" s="72">
        <f>(($G$4*O104)+((1-$G$4)*O106))*EXP(-$B$5*$G$1)</f>
        <v>8.2852012140765723</v>
      </c>
      <c r="P105" s="72">
        <f>(($G$4*Q104)+((1-$G$4)*Q106))*EXP(-$B$5*$G$1)</f>
        <v>8.0489665769414955</v>
      </c>
      <c r="R105" s="72">
        <f>(($G$4*S104)+((1-$G$4)*S106))*EXP(-$B$5*$G$1)</f>
        <v>7.8101798254917378</v>
      </c>
      <c r="T105" s="72">
        <f>(($G$4*U104)+((1-$G$4)*U106))*EXP(-$B$5*$G$1)</f>
        <v>7.5694414321589658</v>
      </c>
      <c r="V105" s="72">
        <f>(($G$4*W104)+((1-$G$4)*W106))*EXP(-$B$5*$G$1)</f>
        <v>7.3279189106557165</v>
      </c>
      <c r="X105" s="72">
        <f>(($G$4*Y104)+((1-$G$4)*Y106))*EXP(-$B$5*$G$1)</f>
        <v>7.0879156423393619</v>
      </c>
      <c r="Z105" s="72">
        <f>(($G$4*AA104)+((1-$G$4)*AA106))*EXP(-$B$5*$G$1)</f>
        <v>6.8542140093496418</v>
      </c>
      <c r="AB105" s="72">
        <f>(($G$4*AC104)+((1-$G$4)*AC106))*EXP(-$B$5*$G$1)</f>
        <v>6.6377191920218026</v>
      </c>
      <c r="AD105" s="72">
        <f>(($G$4*AE104)+((1-$G$4)*AE106))*EXP(-$B$5*$G$1)</f>
        <v>6.4675857409687945</v>
      </c>
      <c r="AF105" s="99"/>
      <c r="AG105" s="89"/>
      <c r="AH105" s="89"/>
      <c r="AI105" s="89"/>
      <c r="AJ105" s="89"/>
      <c r="AK105" s="89"/>
      <c r="AL105" s="89"/>
      <c r="AM105" s="89"/>
      <c r="AN105" s="89"/>
      <c r="AO105" s="103"/>
      <c r="AP105" s="89"/>
      <c r="AQ105" s="89"/>
      <c r="AR105" s="107"/>
    </row>
    <row r="106" spans="1:44" x14ac:dyDescent="0.25">
      <c r="A106" s="73"/>
      <c r="C106" s="72">
        <f>(($G$4*D105)+((1-$G$4)*D107))*EXP(-$B$5*$G$1)</f>
        <v>8.5898488693788764</v>
      </c>
      <c r="E106" s="72">
        <f>(($G$4*F105)+((1-$G$4)*F107))*EXP(-$B$5*$G$1)</f>
        <v>8.3635631464448945</v>
      </c>
      <c r="G106" s="72">
        <f>(($G$4*H105)+((1-$G$4)*H107))*EXP(-$B$5*$G$1)</f>
        <v>8.1335251976716343</v>
      </c>
      <c r="I106" s="72">
        <f>(($G$4*J105)+((1-$G$4)*J107))*EXP(-$B$5*$G$1)</f>
        <v>7.8995197856851824</v>
      </c>
      <c r="K106" s="72">
        <f>(($G$4*L105)+((1-$G$4)*L107))*EXP(-$B$5*$G$1)</f>
        <v>7.661310856899429</v>
      </c>
      <c r="M106" s="72">
        <f>(($G$4*N105)+((1-$G$4)*N107))*EXP(-$B$5*$G$1)</f>
        <v>7.4186417756802552</v>
      </c>
      <c r="O106" s="72">
        <f>(($G$4*P105)+((1-$G$4)*P107))*EXP(-$B$5*$G$1)</f>
        <v>7.171239131589437</v>
      </c>
      <c r="Q106" s="72">
        <f>(($G$4*R105)+((1-$G$4)*R107))*EXP(-$B$5*$G$1)</f>
        <v>6.9188248229520539</v>
      </c>
      <c r="S106" s="72">
        <f>(($G$4*T105)+((1-$G$4)*T107))*EXP(-$B$5*$G$1)</f>
        <v>6.6611474350761659</v>
      </c>
      <c r="U106" s="72">
        <f>(($G$4*V105)+((1-$G$4)*V107))*EXP(-$B$5*$G$1)</f>
        <v>6.3980603751457288</v>
      </c>
      <c r="W106" s="72">
        <f>(($G$4*X105)+((1-$G$4)*X107))*EXP(-$B$5*$G$1)</f>
        <v>6.129721465703736</v>
      </c>
      <c r="Y106" s="72">
        <f>(($G$4*Z105)+((1-$G$4)*Z107))*EXP(-$B$5*$G$1)</f>
        <v>5.8571439945417465</v>
      </c>
      <c r="AA106" s="72">
        <f>(($G$4*AB105)+((1-$G$4)*AB107))*EXP(-$B$5*$G$1)</f>
        <v>5.5839506065804629</v>
      </c>
      <c r="AC106" s="72">
        <f>(($G$4*AD105)+((1-$G$4)*AD107))*EXP(-$B$5*$G$1)</f>
        <v>5.3236269986814184</v>
      </c>
      <c r="AE106" s="72">
        <f>MAX(AO106,AR106)</f>
        <v>5.1591876041491389</v>
      </c>
      <c r="AF106" s="100">
        <f>AE43</f>
        <v>105.02096331444515</v>
      </c>
      <c r="AG106" s="96">
        <f>$B$3</f>
        <v>110</v>
      </c>
      <c r="AH106" s="96">
        <f>$B$2</f>
        <v>90</v>
      </c>
      <c r="AI106" s="93">
        <f>$B$5</f>
        <v>0.05</v>
      </c>
      <c r="AJ106" s="93">
        <f>$B$6</f>
        <v>0.02</v>
      </c>
      <c r="AK106" s="93">
        <f>$B$4</f>
        <v>0.3</v>
      </c>
      <c r="AL106" s="89">
        <f>$B$8</f>
        <v>0.3</v>
      </c>
      <c r="AM106" s="89">
        <f>(LN(AF106/AG106)+((AI106-AJ106+(0.5*AK106*AK106))*AL106))/(AK106*SQRT(AL106))</f>
        <v>-0.1449662462759794</v>
      </c>
      <c r="AN106" s="89">
        <f>AM106-(AK106*SQRT(AL106))</f>
        <v>-0.30928301352752918</v>
      </c>
      <c r="AO106" s="104">
        <f>(AF106*EXP(-AJ106*AL106)*NORMSDIST(AM106))-(AG106*EXP(-AI106*AL106)*NORMSDIST(AN106))</f>
        <v>5.1591876041491389</v>
      </c>
      <c r="AP106" s="89">
        <f>(LN(AF106/AH106)+((AI106-AJ106+(0.5*AK106*AK106))*AL106))/(AK106*SQRT(AL106))</f>
        <v>1.0762767152225736</v>
      </c>
      <c r="AQ106" s="89">
        <f>AP106-(AK106*SQRT(AL106))</f>
        <v>0.91195994797102387</v>
      </c>
      <c r="AR106" s="108">
        <f>-(AF106*EXP(-AJ106*AL106)*NORMSDIST(-AP106))+(AH106*EXP(-AI106*AL106)*NORMSDIST(-AQ106))</f>
        <v>1.3290368941155588</v>
      </c>
    </row>
    <row r="107" spans="1:44" x14ac:dyDescent="0.25">
      <c r="A107" s="73"/>
      <c r="B107" s="72">
        <f>(($G$4*C106)+((1-$G$4)*C108))*EXP(-$B$5*$G$1)</f>
        <v>7.9970824102370583</v>
      </c>
      <c r="D107" s="72">
        <f>(($G$4*E106)+((1-$G$4)*E108))*EXP(-$B$5*$G$1)</f>
        <v>7.7700306967950308</v>
      </c>
      <c r="F107" s="72">
        <f>(($G$4*G106)+((1-$G$4)*G108))*EXP(-$B$5*$G$1)</f>
        <v>7.5387601508219637</v>
      </c>
      <c r="H107" s="72">
        <f>(($G$4*I106)+((1-$G$4)*I108))*EXP(-$B$5*$G$1)</f>
        <v>7.3029467614701948</v>
      </c>
      <c r="J107" s="72">
        <f>(($G$4*K106)+((1-$G$4)*K108))*EXP(-$B$5*$G$1)</f>
        <v>7.0622097292072983</v>
      </c>
      <c r="L107" s="72">
        <f>(($G$4*M106)+((1-$G$4)*M108))*EXP(-$B$5*$G$1)</f>
        <v>6.8160953326873406</v>
      </c>
      <c r="N107" s="72">
        <f>(($G$4*O106)+((1-$G$4)*O108))*EXP(-$B$5*$G$1)</f>
        <v>6.564054421239832</v>
      </c>
      <c r="P107" s="72">
        <f>(($G$4*Q106)+((1-$G$4)*Q108))*EXP(-$B$5*$G$1)</f>
        <v>6.305410280298358</v>
      </c>
      <c r="R107" s="72">
        <f>(($G$4*S106)+((1-$G$4)*S108))*EXP(-$B$5*$G$1)</f>
        <v>6.0393115940006572</v>
      </c>
      <c r="T107" s="72">
        <f>(($G$4*U106)+((1-$G$4)*U108))*EXP(-$B$5*$G$1)</f>
        <v>5.7646618198885404</v>
      </c>
      <c r="V107" s="72">
        <f>(($G$4*W106)+((1-$G$4)*W108))*EXP(-$B$5*$G$1)</f>
        <v>5.4800108456829637</v>
      </c>
      <c r="X107" s="72">
        <f>(($G$4*Y106)+((1-$G$4)*Y108))*EXP(-$B$5*$G$1)</f>
        <v>5.1833884844974198</v>
      </c>
      <c r="Z107" s="72">
        <f>(($G$4*AA106)+((1-$G$4)*AA108))*EXP(-$B$5*$G$1)</f>
        <v>4.8720702474885842</v>
      </c>
      <c r="AB107" s="72">
        <f>(($G$4*AC106)+((1-$G$4)*AC108))*EXP(-$B$5*$G$1)</f>
        <v>4.5424578608838289</v>
      </c>
      <c r="AD107" s="72">
        <f>(($G$4*AE106)+((1-$G$4)*AE108))*EXP(-$B$5*$G$1)</f>
        <v>4.1925045196508099</v>
      </c>
      <c r="AF107" s="99"/>
      <c r="AG107" s="89"/>
      <c r="AH107" s="89"/>
      <c r="AI107" s="89"/>
      <c r="AJ107" s="89"/>
      <c r="AK107" s="89"/>
      <c r="AL107" s="89"/>
      <c r="AM107" s="89"/>
      <c r="AN107" s="89"/>
      <c r="AO107" s="103"/>
      <c r="AP107" s="89"/>
      <c r="AQ107" s="89"/>
      <c r="AR107" s="107"/>
    </row>
    <row r="108" spans="1:44" x14ac:dyDescent="0.25">
      <c r="A108" s="72">
        <f>(($G$4*B107)+((1-$G$4)*B109))*EXP(-$B$5*$G$1)</f>
        <v>7.6380857799197628</v>
      </c>
      <c r="C108" s="72">
        <f>(($G$4*D107)+((1-$G$4)*D109))*EXP(-$B$5*$G$1)</f>
        <v>7.4144460700900616</v>
      </c>
      <c r="E108" s="72">
        <f>(($G$4*F107)+((1-$G$4)*F109))*EXP(-$B$5*$G$1)</f>
        <v>7.1864838164814238</v>
      </c>
      <c r="G108" s="72">
        <f>(($G$4*H107)+((1-$G$4)*H109))*EXP(-$B$5*$G$1)</f>
        <v>6.9538371158324113</v>
      </c>
      <c r="I108" s="72">
        <f>(($G$4*J107)+((1-$G$4)*J109))*EXP(-$B$5*$G$1)</f>
        <v>6.716073853045164</v>
      </c>
      <c r="K108" s="72">
        <f>(($G$4*L107)+((1-$G$4)*L109))*EXP(-$B$5*$G$1)</f>
        <v>6.4726694066291017</v>
      </c>
      <c r="M108" s="72">
        <f>(($G$4*N107)+((1-$G$4)*N109))*EXP(-$B$5*$G$1)</f>
        <v>6.2229742706408988</v>
      </c>
      <c r="O108" s="72">
        <f>(($G$4*P107)+((1-$G$4)*P109))*EXP(-$B$5*$G$1)</f>
        <v>5.9661654314255053</v>
      </c>
      <c r="Q108" s="72">
        <f>(($G$4*R107)+((1-$G$4)*R109))*EXP(-$B$5*$G$1)</f>
        <v>5.7011703530844269</v>
      </c>
      <c r="S108" s="72">
        <f>(($G$4*T107)+((1-$G$4)*T109))*EXP(-$B$5*$G$1)</f>
        <v>5.4265421307825656</v>
      </c>
      <c r="U108" s="72">
        <f>(($G$4*V107)+((1-$G$4)*V109))*EXP(-$B$5*$G$1)</f>
        <v>5.1402412678578671</v>
      </c>
      <c r="W108" s="72">
        <f>(($G$4*X107)+((1-$G$4)*X109))*EXP(-$B$5*$G$1)</f>
        <v>4.839221827636953</v>
      </c>
      <c r="Y108" s="72">
        <f>(($G$4*Z107)+((1-$G$4)*Z109))*EXP(-$B$5*$G$1)</f>
        <v>4.5185530975184811</v>
      </c>
      <c r="AA108" s="72">
        <f>(($G$4*AB107)+((1-$G$4)*AB109))*EXP(-$B$5*$G$1)</f>
        <v>4.1692132513603566</v>
      </c>
      <c r="AC108" s="72">
        <f>(($G$4*AD107)+((1-$G$4)*AD109))*EXP(-$B$5*$G$1)</f>
        <v>3.7706565573926931</v>
      </c>
      <c r="AE108" s="72">
        <f>MAX(AO108,AR108)</f>
        <v>3.2364652079548897</v>
      </c>
      <c r="AF108" s="100">
        <f>AE45</f>
        <v>100.00000000000001</v>
      </c>
      <c r="AG108" s="96">
        <f>$B$3</f>
        <v>110</v>
      </c>
      <c r="AH108" s="96">
        <f>$B$2</f>
        <v>90</v>
      </c>
      <c r="AI108" s="93">
        <f>$B$5</f>
        <v>0.05</v>
      </c>
      <c r="AJ108" s="93">
        <f>$B$6</f>
        <v>0.02</v>
      </c>
      <c r="AK108" s="93">
        <f>$B$4</f>
        <v>0.3</v>
      </c>
      <c r="AL108" s="89">
        <f>$B$8</f>
        <v>0.3</v>
      </c>
      <c r="AM108" s="89">
        <f>(LN(AF108/AG108)+((AI108-AJ108+(0.5*AK108*AK108))*AL108))/(AK108*SQRT(AL108))</f>
        <v>-0.44310864327595295</v>
      </c>
      <c r="AN108" s="89">
        <f>AM108-(AK108*SQRT(AL108))</f>
        <v>-0.60742541052750276</v>
      </c>
      <c r="AO108" s="104">
        <f>(AF108*EXP(-AJ108*AL108)*NORMSDIST(AM108))-(AG108*EXP(-AI108*AL108)*NORMSDIST(AN108))</f>
        <v>3.2364652079548897</v>
      </c>
      <c r="AP108" s="89">
        <f>(LN(AF108/AH108)+((AI108-AJ108+(0.5*AK108*AK108))*AL108))/(AK108*SQRT(AL108))</f>
        <v>0.77813431822260004</v>
      </c>
      <c r="AQ108" s="89">
        <f>AP108-(AK108*SQRT(AL108))</f>
        <v>0.61381755097105017</v>
      </c>
      <c r="AR108" s="108">
        <f>-(AF108*EXP(-AJ108*AL108)*NORMSDIST(-AP108))+(AH108*EXP(-AI108*AL108)*NORMSDIST(-AQ108))</f>
        <v>2.2148437105826133</v>
      </c>
    </row>
    <row r="109" spans="1:44" x14ac:dyDescent="0.25">
      <c r="B109" s="72">
        <f>(($G$4*C108)+((1-$G$4)*C110))*EXP(-$B$5*$G$1)</f>
        <v>7.2870801926939999</v>
      </c>
      <c r="D109" s="72">
        <f>(($G$4*E108)+((1-$G$4)*E110))*EXP(-$B$5*$G$1)</f>
        <v>7.0666762332140731</v>
      </c>
      <c r="F109" s="72">
        <f>(($G$4*G108)+((1-$G$4)*G110))*EXP(-$B$5*$G$1)</f>
        <v>6.8418439914777851</v>
      </c>
      <c r="H109" s="72">
        <f>(($G$4*I108)+((1-$G$4)*I110))*EXP(-$B$5*$G$1)</f>
        <v>6.6121837395681435</v>
      </c>
      <c r="J109" s="72">
        <f>(($G$4*K108)+((1-$G$4)*K110))*EXP(-$B$5*$G$1)</f>
        <v>6.3772121770923453</v>
      </c>
      <c r="L109" s="72">
        <f>(($G$4*M108)+((1-$G$4)*M110))*EXP(-$B$5*$G$1)</f>
        <v>6.1363340104886586</v>
      </c>
      <c r="N109" s="72">
        <f>(($G$4*O108)+((1-$G$4)*O110))*EXP(-$B$5*$G$1)</f>
        <v>5.8887997631692484</v>
      </c>
      <c r="P109" s="72">
        <f>(($G$4*Q108)+((1-$G$4)*Q110))*EXP(-$B$5*$G$1)</f>
        <v>5.6336407653466178</v>
      </c>
      <c r="R109" s="72">
        <f>(($G$4*S108)+((1-$G$4)*S110))*EXP(-$B$5*$G$1)</f>
        <v>5.3695643474914538</v>
      </c>
      <c r="T109" s="72">
        <f>(($G$4*U108)+((1-$G$4)*U110))*EXP(-$B$5*$G$1)</f>
        <v>5.0947751301897233</v>
      </c>
      <c r="V109" s="72">
        <f>(($G$4*W108)+((1-$G$4)*W110))*EXP(-$B$5*$G$1)</f>
        <v>4.8066476700547076</v>
      </c>
      <c r="X109" s="72">
        <f>(($G$4*Y108)+((1-$G$4)*Y110))*EXP(-$B$5*$G$1)</f>
        <v>4.5010670043605394</v>
      </c>
      <c r="Z109" s="72">
        <f>(($G$4*AA108)+((1-$G$4)*AA110))*EXP(-$B$5*$G$1)</f>
        <v>4.1709108602432456</v>
      </c>
      <c r="AB109" s="72">
        <f>(($G$4*AC108)+((1-$G$4)*AC110))*EXP(-$B$5*$G$1)</f>
        <v>3.8017719645739869</v>
      </c>
      <c r="AD109" s="72">
        <f>(($G$4*AE108)+((1-$G$4)*AE110))*EXP(-$B$5*$G$1)</f>
        <v>3.3547424216079285</v>
      </c>
      <c r="AF109" s="99"/>
      <c r="AG109" s="89"/>
      <c r="AH109" s="89"/>
      <c r="AI109" s="89"/>
      <c r="AJ109" s="89"/>
      <c r="AK109" s="89"/>
      <c r="AL109" s="89"/>
      <c r="AM109" s="89"/>
      <c r="AN109" s="89"/>
      <c r="AO109" s="103"/>
      <c r="AP109" s="89"/>
      <c r="AQ109" s="89"/>
      <c r="AR109" s="107"/>
    </row>
    <row r="110" spans="1:44" x14ac:dyDescent="0.25">
      <c r="A110" s="72"/>
      <c r="C110" s="72">
        <f>(($G$4*D109)+((1-$G$4)*D111))*EXP(-$B$5*$G$1)</f>
        <v>7.1655889809458824</v>
      </c>
      <c r="E110" s="72">
        <f>(($G$4*F109)+((1-$G$4)*F111))*EXP(-$B$5*$G$1)</f>
        <v>6.9525354994519626</v>
      </c>
      <c r="G110" s="72">
        <f>(($G$4*H109)+((1-$G$4)*H111))*EXP(-$B$5*$G$1)</f>
        <v>6.7353048770474908</v>
      </c>
      <c r="I110" s="72">
        <f>(($G$4*J109)+((1-$G$4)*J111))*EXP(-$B$5*$G$1)</f>
        <v>6.5135292442244683</v>
      </c>
      <c r="K110" s="72">
        <f>(($G$4*L109)+((1-$G$4)*L111))*EXP(-$B$5*$G$1)</f>
        <v>6.2867659647805674</v>
      </c>
      <c r="M110" s="72">
        <f>(($G$4*N109)+((1-$G$4)*N111))*EXP(-$B$5*$G$1)</f>
        <v>6.0544731214440937</v>
      </c>
      <c r="O110" s="72">
        <f>(($G$4*P109)+((1-$G$4)*P111))*EXP(-$B$5*$G$1)</f>
        <v>5.8159736790946033</v>
      </c>
      <c r="Q110" s="72">
        <f>(($G$4*R109)+((1-$G$4)*R111))*EXP(-$B$5*$G$1)</f>
        <v>5.5704013463048696</v>
      </c>
      <c r="S110" s="72">
        <f>(($G$4*T109)+((1-$G$4)*T111))*EXP(-$B$5*$G$1)</f>
        <v>5.3166155764136267</v>
      </c>
      <c r="U110" s="72">
        <f>(($G$4*V109)+((1-$G$4)*V111))*EXP(-$B$5*$G$1)</f>
        <v>5.0530619301940893</v>
      </c>
      <c r="W110" s="72">
        <f>(($G$4*X109)+((1-$G$4)*X111))*EXP(-$B$5*$G$1)</f>
        <v>4.7775302952324354</v>
      </c>
      <c r="Y110" s="72">
        <f>(($G$4*Z109)+((1-$G$4)*Z111))*EXP(-$B$5*$G$1)</f>
        <v>4.4867120935689222</v>
      </c>
      <c r="AA110" s="72">
        <f>(($G$4*AB109)+((1-$G$4)*AB111))*EXP(-$B$5*$G$1)</f>
        <v>4.1753644315312144</v>
      </c>
      <c r="AC110" s="72">
        <f>(($G$4*AD109)+((1-$G$4)*AD111))*EXP(-$B$5*$G$1)</f>
        <v>3.8351590181700366</v>
      </c>
      <c r="AE110" s="72">
        <f>MAX(AO110,AR110)</f>
        <v>3.4742857503337774</v>
      </c>
      <c r="AF110" s="100">
        <f>AE47</f>
        <v>95.219084689395046</v>
      </c>
      <c r="AG110" s="96">
        <f>$B$3</f>
        <v>110</v>
      </c>
      <c r="AH110" s="96">
        <f>$B$2</f>
        <v>90</v>
      </c>
      <c r="AI110" s="93">
        <f>$B$5</f>
        <v>0.05</v>
      </c>
      <c r="AJ110" s="93">
        <f>$B$6</f>
        <v>0.02</v>
      </c>
      <c r="AK110" s="93">
        <f>$B$4</f>
        <v>0.3</v>
      </c>
      <c r="AL110" s="89">
        <f>$B$8</f>
        <v>0.3</v>
      </c>
      <c r="AM110" s="89">
        <f>(LN(AF110/AG110)+((AI110-AJ110+(0.5*AK110*AK110))*AL110))/(AK110*SQRT(AL110))</f>
        <v>-0.74125104027592592</v>
      </c>
      <c r="AN110" s="89">
        <f>AM110-(AK110*SQRT(AL110))</f>
        <v>-0.90556780752747579</v>
      </c>
      <c r="AO110" s="104">
        <f>(AF110*EXP(-AJ110*AL110)*NORMSDIST(AM110))-(AG110*EXP(-AI110*AL110)*NORMSDIST(AN110))</f>
        <v>1.9153018271738489</v>
      </c>
      <c r="AP110" s="89">
        <f>(LN(AF110/AH110)+((AI110-AJ110+(0.5*AK110*AK110))*AL110))/(AK110*SQRT(AL110))</f>
        <v>0.47999192122262818</v>
      </c>
      <c r="AQ110" s="89">
        <f>AP110-(AK110*SQRT(AL110))</f>
        <v>0.31567515397107837</v>
      </c>
      <c r="AR110" s="108">
        <f>-(AF110*EXP(-AJ110*AL110)*NORMSDIST(-AP110))+(AH110*EXP(-AI110*AL110)*NORMSDIST(-AQ110))</f>
        <v>3.4742857503337774</v>
      </c>
    </row>
    <row r="111" spans="1:44" x14ac:dyDescent="0.25">
      <c r="A111" s="73"/>
      <c r="D111" s="72">
        <f>(($G$4*E110)+((1-$G$4)*E112))*EXP(-$B$5*$G$1)</f>
        <v>7.2684559455999906</v>
      </c>
      <c r="F111" s="72">
        <f>(($G$4*G110)+((1-$G$4)*G112))*EXP(-$B$5*$G$1)</f>
        <v>7.0669439746924141</v>
      </c>
      <c r="H111" s="72">
        <f>(($G$4*I110)+((1-$G$4)*I112))*EXP(-$B$5*$G$1)</f>
        <v>6.8618976663078328</v>
      </c>
      <c r="J111" s="72">
        <f>(($G$4*K110)+((1-$G$4)*K112))*EXP(-$B$5*$G$1)</f>
        <v>6.6530633990160499</v>
      </c>
      <c r="L111" s="72">
        <f>(($G$4*M110)+((1-$G$4)*M112))*EXP(-$B$5*$G$1)</f>
        <v>6.4401496588451872</v>
      </c>
      <c r="N111" s="72">
        <f>(($G$4*O110)+((1-$G$4)*O112))*EXP(-$B$5*$G$1)</f>
        <v>6.2228200403981733</v>
      </c>
      <c r="P111" s="72">
        <f>(($G$4*Q110)+((1-$G$4)*Q112))*EXP(-$B$5*$G$1)</f>
        <v>6.0006863224736486</v>
      </c>
      <c r="R111" s="72">
        <f>(($G$4*S110)+((1-$G$4)*S112))*EXP(-$B$5*$G$1)</f>
        <v>5.773304549780943</v>
      </c>
      <c r="T111" s="72">
        <f>(($G$4*U110)+((1-$G$4)*U112))*EXP(-$B$5*$G$1)</f>
        <v>5.5401829268594422</v>
      </c>
      <c r="V111" s="72">
        <f>(($G$4*W110)+((1-$G$4)*W112))*EXP(-$B$5*$G$1)</f>
        <v>5.3008282785339489</v>
      </c>
      <c r="X111" s="72">
        <f>(($G$4*Y110)+((1-$G$4)*Y112))*EXP(-$B$5*$G$1)</f>
        <v>5.0549183875527994</v>
      </c>
      <c r="Z111" s="72">
        <f>(($G$4*AA110)+((1-$G$4)*AA112))*EXP(-$B$5*$G$1)</f>
        <v>4.8029251662931776</v>
      </c>
      <c r="AB111" s="72">
        <f>(($G$4*AC110)+((1-$G$4)*AC112))*EXP(-$B$5*$G$1)</f>
        <v>4.5486921074309459</v>
      </c>
      <c r="AD111" s="72">
        <f>(($G$4*AE110)+((1-$G$4)*AE112))*EXP(-$B$5*$G$1)</f>
        <v>4.3142163651639125</v>
      </c>
      <c r="AF111" s="99"/>
      <c r="AG111" s="89"/>
      <c r="AH111" s="89"/>
      <c r="AI111" s="89"/>
      <c r="AJ111" s="89"/>
      <c r="AK111" s="89"/>
      <c r="AL111" s="89"/>
      <c r="AM111" s="89"/>
      <c r="AN111" s="89"/>
      <c r="AO111" s="103"/>
      <c r="AP111" s="89"/>
      <c r="AQ111" s="89"/>
      <c r="AR111" s="107"/>
    </row>
    <row r="112" spans="1:44" x14ac:dyDescent="0.25">
      <c r="A112" s="73"/>
      <c r="E112" s="72">
        <f>(($G$4*F111)+((1-$G$4)*F113))*EXP(-$B$5*$G$1)</f>
        <v>7.5866345266033033</v>
      </c>
      <c r="G112" s="72">
        <f>(($G$4*H111)+((1-$G$4)*H113))*EXP(-$B$5*$G$1)</f>
        <v>7.4005795883791849</v>
      </c>
      <c r="I112" s="72">
        <f>(($G$4*J111)+((1-$G$4)*J113))*EXP(-$B$5*$G$1)</f>
        <v>7.2119904212520511</v>
      </c>
      <c r="K112" s="72">
        <f>(($G$4*L111)+((1-$G$4)*L113))*EXP(-$B$5*$G$1)</f>
        <v>7.0208007133475059</v>
      </c>
      <c r="M112" s="72">
        <f>(($G$4*N111)+((1-$G$4)*N113))*EXP(-$B$5*$G$1)</f>
        <v>6.8269671244912802</v>
      </c>
      <c r="O112" s="72">
        <f>(($G$4*P111)+((1-$G$4)*P113))*EXP(-$B$5*$G$1)</f>
        <v>6.6304908861058118</v>
      </c>
      <c r="Q112" s="72">
        <f>(($G$4*R111)+((1-$G$4)*R113))*EXP(-$B$5*$G$1)</f>
        <v>6.4314577024352459</v>
      </c>
      <c r="S112" s="72">
        <f>(($G$4*T111)+((1-$G$4)*T113))*EXP(-$B$5*$G$1)</f>
        <v>6.2301142510701784</v>
      </c>
      <c r="U112" s="72">
        <f>(($G$4*V111)+((1-$G$4)*V113))*EXP(-$B$5*$G$1)</f>
        <v>6.0270224138492656</v>
      </c>
      <c r="W112" s="72">
        <f>(($G$4*X111)+((1-$G$4)*X113))*EXP(-$B$5*$G$1)</f>
        <v>5.8233916656849196</v>
      </c>
      <c r="Y112" s="72">
        <f>(($G$4*Z111)+((1-$G$4)*Z113))*EXP(-$B$5*$G$1)</f>
        <v>5.6218616552950138</v>
      </c>
      <c r="AA112" s="72">
        <f>(($G$4*AB111)+((1-$G$4)*AB113))*EXP(-$B$5*$G$1)</f>
        <v>5.4285729499530815</v>
      </c>
      <c r="AC112" s="72">
        <f>(($G$4*AD111)+((1-$G$4)*AD113))*EXP(-$B$5*$G$1)</f>
        <v>5.2594444149629034</v>
      </c>
      <c r="AE112" s="72">
        <f>MAX(AO112,AR112)</f>
        <v>5.1501828088186983</v>
      </c>
      <c r="AF112" s="100">
        <f>AE49</f>
        <v>90.666740890861846</v>
      </c>
      <c r="AG112" s="96">
        <f>$B$3</f>
        <v>110</v>
      </c>
      <c r="AH112" s="96">
        <f>$B$2</f>
        <v>90</v>
      </c>
      <c r="AI112" s="93">
        <f>$B$5</f>
        <v>0.05</v>
      </c>
      <c r="AJ112" s="93">
        <f>$B$6</f>
        <v>0.02</v>
      </c>
      <c r="AK112" s="93">
        <f>$B$4</f>
        <v>0.3</v>
      </c>
      <c r="AL112" s="89">
        <f>$B$8</f>
        <v>0.3</v>
      </c>
      <c r="AM112" s="89">
        <f>(LN(AF112/AG112)+((AI112-AJ112+(0.5*AK112*AK112))*AL112))/(AK112*SQRT(AL112))</f>
        <v>-1.0393934372758984</v>
      </c>
      <c r="AN112" s="89">
        <f>AM112-(AK112*SQRT(AL112))</f>
        <v>-1.2037102045274481</v>
      </c>
      <c r="AO112" s="104">
        <f>(AF112*EXP(-AJ112*AL112)*NORMSDIST(AM112))-(AG112*EXP(-AI112*AL112)*NORMSDIST(AN112))</f>
        <v>1.0652328612055033</v>
      </c>
      <c r="AP112" s="89">
        <f>(LN(AF112/AH112)+((AI112-AJ112+(0.5*AK112*AK112))*AL112))/(AK112*SQRT(AL112))</f>
        <v>0.18184952422265468</v>
      </c>
      <c r="AQ112" s="89">
        <f>AP112-(AK112*SQRT(AL112))</f>
        <v>1.7532756971104874E-2</v>
      </c>
      <c r="AR112" s="108">
        <f>-(AF112*EXP(-AJ112*AL112)*NORMSDIST(-AP112))+(AH112*EXP(-AI112*AL112)*NORMSDIST(-AQ112))</f>
        <v>5.1501828088186983</v>
      </c>
    </row>
    <row r="113" spans="1:44" x14ac:dyDescent="0.25">
      <c r="A113" s="73"/>
      <c r="F113" s="72">
        <f>(($G$4*G112)+((1-$G$4)*G114))*EXP(-$B$5*$G$1)</f>
        <v>8.1071377416262198</v>
      </c>
      <c r="H113" s="72">
        <f>(($G$4*I112)+((1-$G$4)*I114))*EXP(-$B$5*$G$1)</f>
        <v>7.9397962102435908</v>
      </c>
      <c r="J113" s="72">
        <f>(($G$4*K112)+((1-$G$4)*K114))*EXP(-$B$5*$G$1)</f>
        <v>7.7711623035454425</v>
      </c>
      <c r="L113" s="72">
        <f>(($G$4*M112)+((1-$G$4)*M114))*EXP(-$B$5*$G$1)</f>
        <v>7.6013930367016886</v>
      </c>
      <c r="N113" s="72">
        <f>(($G$4*O112)+((1-$G$4)*O114))*EXP(-$B$5*$G$1)</f>
        <v>7.430735723197686</v>
      </c>
      <c r="P113" s="72">
        <f>(($G$4*Q112)+((1-$G$4)*Q114))*EXP(-$B$5*$G$1)</f>
        <v>7.259577881432139</v>
      </c>
      <c r="R113" s="72">
        <f>(($G$4*S112)+((1-$G$4)*S114))*EXP(-$B$5*$G$1)</f>
        <v>7.0885306256723464</v>
      </c>
      <c r="T113" s="72">
        <f>(($G$4*U112)+((1-$G$4)*U114))*EXP(-$B$5*$G$1)</f>
        <v>6.9185732661761614</v>
      </c>
      <c r="V113" s="72">
        <f>(($G$4*W112)+((1-$G$4)*W114))*EXP(-$B$5*$G$1)</f>
        <v>6.7513145367261744</v>
      </c>
      <c r="X113" s="72">
        <f>(($G$4*Y112)+((1-$G$4)*Y114))*EXP(-$B$5*$G$1)</f>
        <v>6.5894839540667904</v>
      </c>
      <c r="Z113" s="72">
        <f>(($G$4*AA112)+((1-$G$4)*AA114))*EXP(-$B$5*$G$1)</f>
        <v>6.4378730312649157</v>
      </c>
      <c r="AB113" s="72">
        <f>(($G$4*AC112)+((1-$G$4)*AC114))*EXP(-$B$5*$G$1)</f>
        <v>6.3049048114535413</v>
      </c>
      <c r="AD113" s="72">
        <f>(($G$4*AE112)+((1-$G$4)*AE114))*EXP(-$B$5*$G$1)</f>
        <v>6.2004798620892867</v>
      </c>
      <c r="AF113" s="99"/>
      <c r="AG113" s="89"/>
      <c r="AH113" s="89"/>
      <c r="AI113" s="89"/>
      <c r="AJ113" s="89"/>
      <c r="AK113" s="89"/>
      <c r="AL113" s="89"/>
      <c r="AM113" s="89"/>
      <c r="AN113" s="89"/>
      <c r="AO113" s="103"/>
      <c r="AP113" s="89"/>
      <c r="AQ113" s="89"/>
      <c r="AR113" s="107"/>
    </row>
    <row r="114" spans="1:44" x14ac:dyDescent="0.25">
      <c r="A114" s="73"/>
      <c r="G114" s="72">
        <f>(($G$4*H113)+((1-$G$4)*H115))*EXP(-$B$5*$G$1)</f>
        <v>8.8133348700975827</v>
      </c>
      <c r="I114" s="72">
        <f>(($G$4*J113)+((1-$G$4)*J115))*EXP(-$B$5*$G$1)</f>
        <v>8.6669570934119129</v>
      </c>
      <c r="K114" s="72">
        <f>(($G$4*L113)+((1-$G$4)*L115))*EXP(-$B$5*$G$1)</f>
        <v>8.5205836125397223</v>
      </c>
      <c r="M114" s="72">
        <f>(($G$4*N113)+((1-$G$4)*N115))*EXP(-$B$5*$G$1)</f>
        <v>8.3745702732639309</v>
      </c>
      <c r="O114" s="72">
        <f>(($G$4*P113)+((1-$G$4)*P115))*EXP(-$B$5*$G$1)</f>
        <v>8.2294086345822759</v>
      </c>
      <c r="Q114" s="72">
        <f>(($G$4*R113)+((1-$G$4)*R115))*EXP(-$B$5*$G$1)</f>
        <v>8.0857858324702132</v>
      </c>
      <c r="S114" s="72">
        <f>(($G$4*T113)+((1-$G$4)*T115))*EXP(-$B$5*$G$1)</f>
        <v>7.9446748606208679</v>
      </c>
      <c r="U114" s="72">
        <f>(($G$4*V113)+((1-$G$4)*V115))*EXP(-$B$5*$G$1)</f>
        <v>7.8074697141150891</v>
      </c>
      <c r="W114" s="72">
        <f>(($G$4*X113)+((1-$G$4)*X115))*EXP(-$B$5*$G$1)</f>
        <v>7.6761762077174174</v>
      </c>
      <c r="Y114" s="72">
        <f>(($G$4*Z113)+((1-$G$4)*Z115))*EXP(-$B$5*$G$1)</f>
        <v>7.5536148081044399</v>
      </c>
      <c r="AA114" s="72">
        <f>(($G$4*AB113)+((1-$G$4)*AB115))*EXP(-$B$5*$G$1)</f>
        <v>7.4432421245798901</v>
      </c>
      <c r="AC114" s="72">
        <f>(($G$4*AD113)+((1-$G$4)*AD115))*EXP(-$B$5*$G$1)</f>
        <v>7.3460519167532832</v>
      </c>
      <c r="AE114" s="72">
        <f>MAX(AO114,AR114)</f>
        <v>7.2463549542947305</v>
      </c>
      <c r="AF114" s="100">
        <f>AE51</f>
        <v>86.332040793984106</v>
      </c>
      <c r="AG114" s="96">
        <f>$B$3</f>
        <v>110</v>
      </c>
      <c r="AH114" s="96">
        <f>$B$2</f>
        <v>90</v>
      </c>
      <c r="AI114" s="93">
        <f>$B$5</f>
        <v>0.05</v>
      </c>
      <c r="AJ114" s="93">
        <f>$B$6</f>
        <v>0.02</v>
      </c>
      <c r="AK114" s="93">
        <f>$B$4</f>
        <v>0.3</v>
      </c>
      <c r="AL114" s="89">
        <f>$B$8</f>
        <v>0.3</v>
      </c>
      <c r="AM114" s="89">
        <f>(LN(AF114/AG114)+((AI114-AJ114+(0.5*AK114*AK114))*AL114))/(AK114*SQRT(AL114))</f>
        <v>-1.3375358342758707</v>
      </c>
      <c r="AN114" s="89">
        <f>AM114-(AK114*SQRT(AL114))</f>
        <v>-1.5018526015274205</v>
      </c>
      <c r="AO114" s="104">
        <f>(AF114*EXP(-AJ114*AL114)*NORMSDIST(AM114))-(AG114*EXP(-AI114*AL114)*NORMSDIST(AN114))</f>
        <v>0.55494441182471821</v>
      </c>
      <c r="AP114" s="89">
        <f>(LN(AF114/AH114)+((AI114-AJ114+(0.5*AK114*AK114))*AL114))/(AK114*SQRT(AL114))</f>
        <v>-0.11629287277731799</v>
      </c>
      <c r="AQ114" s="89">
        <f>AP114-(AK114*SQRT(AL114))</f>
        <v>-0.28060964002886779</v>
      </c>
      <c r="AR114" s="108">
        <f>-(AF114*EXP(-AJ114*AL114)*NORMSDIST(-AP114))+(AH114*EXP(-AI114*AL114)*NORMSDIST(-AQ114))</f>
        <v>7.2463549542947305</v>
      </c>
    </row>
    <row r="115" spans="1:44" x14ac:dyDescent="0.25">
      <c r="A115" s="73"/>
      <c r="G115" s="72"/>
      <c r="H115" s="72">
        <f>(($G$4*I114)+((1-$G$4)*I116))*EXP(-$B$5*$G$1)</f>
        <v>9.6856238235987515</v>
      </c>
      <c r="J115" s="72">
        <f>(($G$4*K114)+((1-$G$4)*K116))*EXP(-$B$5*$G$1)</f>
        <v>9.5612240176026226</v>
      </c>
      <c r="L115" s="72">
        <f>(($G$4*M114)+((1-$G$4)*M116))*EXP(-$B$5*$G$1)</f>
        <v>9.4379589001983462</v>
      </c>
      <c r="N115" s="72">
        <f>(($G$4*O114)+((1-$G$4)*O116))*EXP(-$B$5*$G$1)</f>
        <v>9.3162922033442861</v>
      </c>
      <c r="P115" s="72">
        <f>(($G$4*Q114)+((1-$G$4)*Q116))*EXP(-$B$5*$G$1)</f>
        <v>9.1968190071577656</v>
      </c>
      <c r="R115" s="72">
        <f>(($G$4*S114)+((1-$G$4)*S116))*EXP(-$B$5*$G$1)</f>
        <v>9.0803023075282834</v>
      </c>
      <c r="T115" s="72">
        <f>(($G$4*U114)+((1-$G$4)*U116))*EXP(-$B$5*$G$1)</f>
        <v>8.9677094790745606</v>
      </c>
      <c r="V115" s="72">
        <f>(($G$4*W114)+((1-$G$4)*W116))*EXP(-$B$5*$G$1)</f>
        <v>8.8602224498264892</v>
      </c>
      <c r="X115" s="72">
        <f>(($G$4*Y114)+((1-$G$4)*Y116))*EXP(-$B$5*$G$1)</f>
        <v>8.7591305486619042</v>
      </c>
      <c r="Z115" s="72">
        <f>(($G$4*AA114)+((1-$G$4)*AA116))*EXP(-$B$5*$G$1)</f>
        <v>8.6653010945439135</v>
      </c>
      <c r="AB115" s="72">
        <f>(($G$4*AC114)+((1-$G$4)*AC116))*EXP(-$B$5*$G$1)</f>
        <v>8.5772669382222215</v>
      </c>
      <c r="AD115" s="72">
        <f>(($G$4*AE114)+((1-$G$4)*AE116))*EXP(-$B$5*$G$1)</f>
        <v>8.4871881086575094</v>
      </c>
      <c r="AF115" s="99"/>
      <c r="AG115" s="89"/>
      <c r="AH115" s="89"/>
      <c r="AI115" s="89"/>
      <c r="AJ115" s="89"/>
      <c r="AK115" s="89"/>
      <c r="AL115" s="89"/>
      <c r="AM115" s="89"/>
      <c r="AN115" s="89"/>
      <c r="AO115" s="103"/>
      <c r="AP115" s="89"/>
      <c r="AQ115" s="89"/>
      <c r="AR115" s="107"/>
    </row>
    <row r="116" spans="1:44" x14ac:dyDescent="0.25">
      <c r="A116" s="73"/>
      <c r="G116" s="72"/>
      <c r="I116" s="72">
        <f>(($G$4*J115)+((1-$G$4)*J117))*EXP(-$B$5*$G$1)</f>
        <v>10.702440134377108</v>
      </c>
      <c r="K116" s="72">
        <f>(($G$4*L115)+((1-$G$4)*L117))*EXP(-$B$5*$G$1)</f>
        <v>10.599752735299068</v>
      </c>
      <c r="M116" s="72">
        <f>(($G$4*N115)+((1-$G$4)*N117))*EXP(-$B$5*$G$1)</f>
        <v>10.498969027822191</v>
      </c>
      <c r="O116" s="72">
        <f>(($G$4*P115)+((1-$G$4)*P117))*EXP(-$B$5*$G$1)</f>
        <v>10.400525451063865</v>
      </c>
      <c r="Q116" s="72">
        <f>(($G$4*R115)+((1-$G$4)*R117))*EXP(-$B$5*$G$1)</f>
        <v>10.30492617292148</v>
      </c>
      <c r="S116" s="72">
        <f>(($G$4*T115)+((1-$G$4)*T117))*EXP(-$B$5*$G$1)</f>
        <v>10.212726405559749</v>
      </c>
      <c r="U116" s="72">
        <f>(($G$4*V115)+((1-$G$4)*V117))*EXP(-$B$5*$G$1)</f>
        <v>10.124471014197328</v>
      </c>
      <c r="W116" s="72">
        <f>(($G$4*X115)+((1-$G$4)*X117))*EXP(-$B$5*$G$1)</f>
        <v>10.040525523663989</v>
      </c>
      <c r="Y116" s="72">
        <f>(($G$4*Z115)+((1-$G$4)*Z117))*EXP(-$B$5*$G$1)</f>
        <v>9.9606614302371259</v>
      </c>
      <c r="AA116" s="72">
        <f>(($G$4*AB115)+((1-$G$4)*AB117))*EXP(-$B$5*$G$1)</f>
        <v>9.8831783908601416</v>
      </c>
      <c r="AC116" s="72">
        <f>(($G$4*AD115)+((1-$G$4)*AD117))*EXP(-$B$5*$G$1)</f>
        <v>9.804167381687753</v>
      </c>
      <c r="AE116" s="72">
        <f>MAX(AO116,AR116)</f>
        <v>9.7235686658835974</v>
      </c>
      <c r="AF116" s="100">
        <f>AE53</f>
        <v>82.204579037706793</v>
      </c>
      <c r="AG116" s="96">
        <f>$B$3</f>
        <v>110</v>
      </c>
      <c r="AH116" s="96">
        <f>$B$2</f>
        <v>90</v>
      </c>
      <c r="AI116" s="93">
        <f>$B$5</f>
        <v>0.05</v>
      </c>
      <c r="AJ116" s="93">
        <f>$B$6</f>
        <v>0.02</v>
      </c>
      <c r="AK116" s="93">
        <f>$B$4</f>
        <v>0.3</v>
      </c>
      <c r="AL116" s="89">
        <f>$B$8</f>
        <v>0.3</v>
      </c>
      <c r="AM116" s="89">
        <f>(LN(AF116/AG116)+((AI116-AJ116+(0.5*AK116*AK116))*AL116))/(AK116*SQRT(AL116))</f>
        <v>-1.6356782312758433</v>
      </c>
      <c r="AN116" s="89">
        <f>AM116-(AK116*SQRT(AL116))</f>
        <v>-1.7999949985273931</v>
      </c>
      <c r="AO116" s="104">
        <f>(AF116*EXP(-AJ116*AL116)*NORMSDIST(AM116))-(AG116*EXP(-AI116*AL116)*NORMSDIST(AN116))</f>
        <v>0.2700171746952682</v>
      </c>
      <c r="AP116" s="89">
        <f>(LN(AF116/AH116)+((AI116-AJ116+(0.5*AK116*AK116))*AL116))/(AK116*SQRT(AL116))</f>
        <v>-0.41443526977729095</v>
      </c>
      <c r="AQ116" s="89">
        <f>AP116-(AK116*SQRT(AL116))</f>
        <v>-0.57875203702884082</v>
      </c>
      <c r="AR116" s="108">
        <f>-(AF116*EXP(-AJ116*AL116)*NORMSDIST(-AP116))+(AH116*EXP(-AI116*AL116)*NORMSDIST(-AQ116))</f>
        <v>9.7235686658835974</v>
      </c>
    </row>
    <row r="117" spans="1:44" x14ac:dyDescent="0.25">
      <c r="A117" s="73"/>
      <c r="G117" s="72"/>
      <c r="J117" s="72">
        <f>(($G$4*K116)+((1-$G$4)*K118))*EXP(-$B$5*$G$1)</f>
        <v>11.841484671747926</v>
      </c>
      <c r="L117" s="72">
        <f>(($G$4*M116)+((1-$G$4)*M118))*EXP(-$B$5*$G$1)</f>
        <v>11.759139491433427</v>
      </c>
      <c r="N117" s="72">
        <f>(($G$4*O116)+((1-$G$4)*O118))*EXP(-$B$5*$G$1)</f>
        <v>11.679002055927581</v>
      </c>
      <c r="P117" s="72">
        <f>(($G$4*Q116)+((1-$G$4)*Q118))*EXP(-$B$5*$G$1)</f>
        <v>11.60135174301181</v>
      </c>
      <c r="R117" s="72">
        <f>(($G$4*S116)+((1-$G$4)*S118))*EXP(-$B$5*$G$1)</f>
        <v>11.526436331807494</v>
      </c>
      <c r="T117" s="72">
        <f>(($G$4*U116)+((1-$G$4)*U118))*EXP(-$B$5*$G$1)</f>
        <v>11.454402591832274</v>
      </c>
      <c r="V117" s="72">
        <f>(($G$4*W116)+((1-$G$4)*W118))*EXP(-$B$5*$G$1)</f>
        <v>11.385163866993746</v>
      </c>
      <c r="X117" s="72">
        <f>(($G$4*Y116)+((1-$G$4)*Y118))*EXP(-$B$5*$G$1)</f>
        <v>11.318169631844627</v>
      </c>
      <c r="Z117" s="72">
        <f>(($G$4*AA116)+((1-$G$4)*AA118))*EXP(-$B$5*$G$1)</f>
        <v>11.252104317879438</v>
      </c>
      <c r="AB117" s="72">
        <f>(($G$4*AC116)+((1-$G$4)*AC118))*EXP(-$B$5*$G$1)</f>
        <v>11.185035155087952</v>
      </c>
      <c r="AD117" s="72">
        <f>(($G$4*AE116)+((1-$G$4)*AE118))*EXP(-$B$5*$G$1)</f>
        <v>11.116949510189247</v>
      </c>
      <c r="AF117" s="99"/>
      <c r="AG117" s="89"/>
      <c r="AH117" s="89"/>
      <c r="AI117" s="89"/>
      <c r="AJ117" s="89"/>
      <c r="AK117" s="89"/>
      <c r="AL117" s="89"/>
      <c r="AM117" s="89"/>
      <c r="AN117" s="89"/>
      <c r="AO117" s="103"/>
      <c r="AP117" s="89"/>
      <c r="AQ117" s="89"/>
      <c r="AR117" s="107"/>
    </row>
    <row r="118" spans="1:44" x14ac:dyDescent="0.25">
      <c r="A118" s="73"/>
      <c r="G118" s="72"/>
      <c r="K118" s="72">
        <f>(($G$4*L117)+((1-$G$4)*L119))*EXP(-$B$5*$G$1)</f>
        <v>13.080984181636746</v>
      </c>
      <c r="M118" s="72">
        <f>(($G$4*N117)+((1-$G$4)*N119))*EXP(-$B$5*$G$1)</f>
        <v>13.016872930328841</v>
      </c>
      <c r="O118" s="72">
        <f>(($G$4*P117)+((1-$G$4)*P119))*EXP(-$B$5*$G$1)</f>
        <v>12.954839580381188</v>
      </c>
      <c r="Q118" s="72">
        <f>(($G$4*R117)+((1-$G$4)*R119))*EXP(-$B$5*$G$1)</f>
        <v>12.894940732652842</v>
      </c>
      <c r="S118" s="72">
        <f>(($G$4*T117)+((1-$G$4)*T119))*EXP(-$B$5*$G$1)</f>
        <v>12.837119397364555</v>
      </c>
      <c r="U118" s="72">
        <f>(($G$4*V117)+((1-$G$4)*V119))*EXP(-$B$5*$G$1)</f>
        <v>12.781127582536046</v>
      </c>
      <c r="W118" s="72">
        <f>(($G$4*X117)+((1-$G$4)*X119))*EXP(-$B$5*$G$1)</f>
        <v>12.726430070088316</v>
      </c>
      <c r="Y118" s="72">
        <f>(($G$4*Z117)+((1-$G$4)*Z119))*EXP(-$B$5*$G$1)</f>
        <v>12.672156565478309</v>
      </c>
      <c r="AA118" s="72">
        <f>(($G$4*AB117)+((1-$G$4)*AB119))*EXP(-$B$5*$G$1)</f>
        <v>12.617372272695867</v>
      </c>
      <c r="AC118" s="72">
        <f>(($G$4*AD117)+((1-$G$4)*AD119))*EXP(-$B$5*$G$1)</f>
        <v>12.562103324039782</v>
      </c>
      <c r="AE118" s="72">
        <f>MAX(AO118,AR118)</f>
        <v>12.506383798417239</v>
      </c>
      <c r="AF118" s="100">
        <f>AE55</f>
        <v>78.274447732474712</v>
      </c>
      <c r="AG118" s="96">
        <f>$B$3</f>
        <v>110</v>
      </c>
      <c r="AH118" s="96">
        <f>$B$2</f>
        <v>90</v>
      </c>
      <c r="AI118" s="93">
        <f>$B$5</f>
        <v>0.05</v>
      </c>
      <c r="AJ118" s="93">
        <f>$B$6</f>
        <v>0.02</v>
      </c>
      <c r="AK118" s="93">
        <f>$B$4</f>
        <v>0.3</v>
      </c>
      <c r="AL118" s="89">
        <f>$B$8</f>
        <v>0.3</v>
      </c>
      <c r="AM118" s="89">
        <f>(LN(AF118/AG118)+((AI118-AJ118+(0.5*AK118*AK118))*AL118))/(AK118*SQRT(AL118))</f>
        <v>-1.9338206282758161</v>
      </c>
      <c r="AN118" s="89">
        <f>AM118-(AK118*SQRT(AL118))</f>
        <v>-2.0981373955273659</v>
      </c>
      <c r="AO118" s="104">
        <f>(AF118*EXP(-AJ118*AL118)*NORMSDIST(AM118))-(AG118*EXP(-AI118*AL118)*NORMSDIST(AN118))</f>
        <v>0.12239883252495209</v>
      </c>
      <c r="AP118" s="89">
        <f>(LN(AF118/AH118)+((AI118-AJ118+(0.5*AK118*AK118))*AL118))/(AK118*SQRT(AL118))</f>
        <v>-0.71257766677726297</v>
      </c>
      <c r="AQ118" s="89">
        <f>AP118-(AK118*SQRT(AL118))</f>
        <v>-0.87689443402881273</v>
      </c>
      <c r="AR118" s="108">
        <f>-(AF118*EXP(-AJ118*AL118)*NORMSDIST(-AP118))+(AH118*EXP(-AI118*AL118)*NORMSDIST(-AQ118))</f>
        <v>12.506383798417239</v>
      </c>
    </row>
    <row r="119" spans="1:44" x14ac:dyDescent="0.25">
      <c r="A119" s="73"/>
      <c r="G119" s="72"/>
      <c r="L119" s="72">
        <f>(($G$4*M118)+((1-$G$4)*M120))*EXP(-$B$5*$G$1)</f>
        <v>14.400768195184519</v>
      </c>
      <c r="N119" s="72">
        <f>(($G$4*O118)+((1-$G$4)*O120))*EXP(-$B$5*$G$1)</f>
        <v>14.352510252154948</v>
      </c>
      <c r="P119" s="72">
        <f>(($G$4*Q118)+((1-$G$4)*Q120))*EXP(-$B$5*$G$1)</f>
        <v>14.305925696316836</v>
      </c>
      <c r="R119" s="72">
        <f>(($G$4*S118)+((1-$G$4)*S120))*EXP(-$B$5*$G$1)</f>
        <v>14.260881542238712</v>
      </c>
      <c r="T119" s="72">
        <f>(($G$4*U118)+((1-$G$4)*U120))*EXP(-$B$5*$G$1)</f>
        <v>14.217118659675215</v>
      </c>
      <c r="V119" s="72">
        <f>(($G$4*W118)+((1-$G$4)*W120))*EXP(-$B$5*$G$1)</f>
        <v>14.174228867824866</v>
      </c>
      <c r="X119" s="72">
        <f>(($G$4*Y118)+((1-$G$4)*Y120))*EXP(-$B$5*$G$1)</f>
        <v>14.131691776098847</v>
      </c>
      <c r="Z119" s="72">
        <f>(($G$4*AA118)+((1-$G$4)*AA120))*EXP(-$B$5*$G$1)</f>
        <v>14.089078165658844</v>
      </c>
      <c r="AB119" s="72">
        <f>(($G$4*AC118)+((1-$G$4)*AC120))*EXP(-$B$5*$G$1)</f>
        <v>14.046442479646741</v>
      </c>
      <c r="AD119" s="72">
        <f>(($G$4*AE118)+((1-$G$4)*AE120))*EXP(-$B$5*$G$1)</f>
        <v>14.00384931810903</v>
      </c>
      <c r="AF119" s="99"/>
      <c r="AG119" s="89"/>
      <c r="AH119" s="89"/>
      <c r="AI119" s="89"/>
      <c r="AJ119" s="89"/>
      <c r="AK119" s="89"/>
      <c r="AL119" s="89"/>
      <c r="AM119" s="89"/>
      <c r="AN119" s="89"/>
      <c r="AO119" s="103"/>
      <c r="AP119" s="89"/>
      <c r="AQ119" s="89"/>
      <c r="AR119" s="107"/>
    </row>
    <row r="120" spans="1:44" x14ac:dyDescent="0.25">
      <c r="A120" s="73"/>
      <c r="D120" s="72"/>
      <c r="G120" s="72"/>
      <c r="M120" s="72">
        <f>(($G$4*N119)+((1-$G$4)*N121))*EXP(-$B$5*$G$1)</f>
        <v>15.782974703099317</v>
      </c>
      <c r="O120" s="72">
        <f>(($G$4*P119)+((1-$G$4)*P121))*EXP(-$B$5*$G$1)</f>
        <v>15.748348118793977</v>
      </c>
      <c r="Q120" s="72">
        <f>(($G$4*R119)+((1-$G$4)*R121))*EXP(-$B$5*$G$1)</f>
        <v>15.714938667013984</v>
      </c>
      <c r="S120" s="72">
        <f>(($G$4*T119)+((1-$G$4)*T121))*EXP(-$B$5*$G$1)</f>
        <v>15.682537896251088</v>
      </c>
      <c r="U120" s="72">
        <f>(($G$4*V119)+((1-$G$4)*V121))*EXP(-$B$5*$G$1)</f>
        <v>15.650875456475219</v>
      </c>
      <c r="W120" s="72">
        <f>(($G$4*X119)+((1-$G$4)*X121))*EXP(-$B$5*$G$1)</f>
        <v>15.619668900219606</v>
      </c>
      <c r="Y120" s="72">
        <f>(($G$4*Z119)+((1-$G$4)*Z121))*EXP(-$B$5*$G$1)</f>
        <v>15.588744550362659</v>
      </c>
      <c r="AA120" s="72">
        <f>(($G$4*AB119)+((1-$G$4)*AB121))*EXP(-$B$5*$G$1)</f>
        <v>15.558174369585673</v>
      </c>
      <c r="AC120" s="72">
        <f>(($G$4*AD119)+((1-$G$4)*AD121))*EXP(-$B$5*$G$1)</f>
        <v>15.528040917844709</v>
      </c>
      <c r="AE120" s="72">
        <f>MAX(AO120,AR120)</f>
        <v>15.498439111070596</v>
      </c>
      <c r="AF120" s="100">
        <f>AE57</f>
        <v>74.532212676541349</v>
      </c>
      <c r="AG120" s="96">
        <f>$B$3</f>
        <v>110</v>
      </c>
      <c r="AH120" s="96">
        <f>$B$2</f>
        <v>90</v>
      </c>
      <c r="AI120" s="93">
        <f>$B$5</f>
        <v>0.05</v>
      </c>
      <c r="AJ120" s="93">
        <f>$B$6</f>
        <v>0.02</v>
      </c>
      <c r="AK120" s="93">
        <f>$B$4</f>
        <v>0.3</v>
      </c>
      <c r="AL120" s="89">
        <f>$B$8</f>
        <v>0.3</v>
      </c>
      <c r="AM120" s="89">
        <f>(LN(AF120/AG120)+((AI120-AJ120+(0.5*AK120*AK120))*AL120))/(AK120*SQRT(AL120))</f>
        <v>-2.2319630252757889</v>
      </c>
      <c r="AN120" s="89">
        <f>AM120-(AK120*SQRT(AL120))</f>
        <v>-2.3962797925273387</v>
      </c>
      <c r="AO120" s="104">
        <f>(AF120*EXP(-AJ120*AL120)*NORMSDIST(AM120))-(AG120*EXP(-AI120*AL120)*NORMSDIST(AN120))</f>
        <v>5.1577916473633301E-2</v>
      </c>
      <c r="AP120" s="89">
        <f>(LN(AF120/AH120)+((AI120-AJ120+(0.5*AK120*AK120))*AL120))/(AK120*SQRT(AL120))</f>
        <v>-1.0107200637772356</v>
      </c>
      <c r="AQ120" s="89">
        <f>AP120-(AK120*SQRT(AL120))</f>
        <v>-1.1750368310287853</v>
      </c>
      <c r="AR120" s="108">
        <f>-(AF120*EXP(-AJ120*AL120)*NORMSDIST(-AP120))+(AH120*EXP(-AI120*AL120)*NORMSDIST(-AQ120))</f>
        <v>15.498439111070596</v>
      </c>
    </row>
    <row r="121" spans="1:44" x14ac:dyDescent="0.25">
      <c r="A121" s="73"/>
      <c r="C121" s="72"/>
      <c r="D121" s="72"/>
      <c r="G121" s="72"/>
      <c r="N121" s="72">
        <f>(($G$4*O120)+((1-$G$4)*O122))*EXP(-$B$5*$G$1)</f>
        <v>17.212289641799167</v>
      </c>
      <c r="P121" s="72">
        <f>(($G$4*Q120)+((1-$G$4)*Q122))*EXP(-$B$5*$G$1)</f>
        <v>17.189500809725448</v>
      </c>
      <c r="R121" s="72">
        <f>(($G$4*S120)+((1-$G$4)*S122))*EXP(-$B$5*$G$1)</f>
        <v>17.167609277557879</v>
      </c>
      <c r="T121" s="72">
        <f>(($G$4*U120)+((1-$G$4)*U122))*EXP(-$B$5*$G$1)</f>
        <v>17.146456722053358</v>
      </c>
      <c r="V121" s="72">
        <f>(($G$4*W120)+((1-$G$4)*W122))*EXP(-$B$5*$G$1)</f>
        <v>17.125909323782228</v>
      </c>
      <c r="X121" s="72">
        <f>(($G$4*Y120)+((1-$G$4)*Y122))*EXP(-$B$5*$G$1)</f>
        <v>17.105920456226457</v>
      </c>
      <c r="Z121" s="72">
        <f>(($G$4*AA120)+((1-$G$4)*AA122))*EXP(-$B$5*$G$1)</f>
        <v>17.086569790952385</v>
      </c>
      <c r="AB121" s="72">
        <f>(($G$4*AC120)+((1-$G$4)*AC122))*EXP(-$B$5*$G$1)</f>
        <v>17.06794671552522</v>
      </c>
      <c r="AD121" s="72">
        <f>(($G$4*AE120)+((1-$G$4)*AE122))*EXP(-$B$5*$G$1)</f>
        <v>17.050151658611959</v>
      </c>
      <c r="AF121" s="99"/>
      <c r="AG121" s="89"/>
      <c r="AH121" s="89"/>
      <c r="AI121" s="89"/>
      <c r="AJ121" s="89"/>
      <c r="AK121" s="89"/>
      <c r="AL121" s="89"/>
      <c r="AM121" s="89"/>
      <c r="AN121" s="89"/>
      <c r="AO121" s="103"/>
      <c r="AP121" s="89"/>
      <c r="AQ121" s="89"/>
      <c r="AR121" s="107"/>
    </row>
    <row r="122" spans="1:44" x14ac:dyDescent="0.25">
      <c r="A122" s="73"/>
      <c r="B122" s="72"/>
      <c r="D122" s="72"/>
      <c r="G122" s="72"/>
      <c r="O122" s="72">
        <f>(($G$4*P121)+((1-$G$4)*P123))*EXP(-$B$5*$G$1)</f>
        <v>18.67575862654753</v>
      </c>
      <c r="Q122" s="72">
        <f>(($G$4*R121)+((1-$G$4)*R123))*EXP(-$B$5*$G$1)</f>
        <v>18.663488929351555</v>
      </c>
      <c r="S122" s="72">
        <f>(($G$4*T121)+((1-$G$4)*T123))*EXP(-$B$5*$G$1)</f>
        <v>18.652006652408229</v>
      </c>
      <c r="U122" s="72">
        <f>(($G$4*V121)+((1-$G$4)*V123))*EXP(-$B$5*$G$1)</f>
        <v>18.641264483284399</v>
      </c>
      <c r="W122" s="72">
        <f>(($G$4*X121)+((1-$G$4)*X123))*EXP(-$B$5*$G$1)</f>
        <v>18.631275933294269</v>
      </c>
      <c r="Y122" s="72">
        <f>(($G$4*Z121)+((1-$G$4)*Z123))*EXP(-$B$5*$G$1)</f>
        <v>18.622120362568531</v>
      </c>
      <c r="AA122" s="72">
        <f>(($G$4*AB121)+((1-$G$4)*AB123))*EXP(-$B$5*$G$1)</f>
        <v>18.613885141788344</v>
      </c>
      <c r="AC122" s="72">
        <f>(($G$4*AD121)+((1-$G$4)*AD123))*EXP(-$B$5*$G$1)</f>
        <v>18.606666489975165</v>
      </c>
      <c r="AE122" s="72">
        <f>MAX(AO122,AR122)</f>
        <v>18.600570370401954</v>
      </c>
      <c r="AF122" s="100">
        <f>AE59</f>
        <v>70.968890709355918</v>
      </c>
      <c r="AG122" s="96">
        <f>$B$3</f>
        <v>110</v>
      </c>
      <c r="AH122" s="96">
        <f>$B$2</f>
        <v>90</v>
      </c>
      <c r="AI122" s="93">
        <f>$B$5</f>
        <v>0.05</v>
      </c>
      <c r="AJ122" s="93">
        <f>$B$6</f>
        <v>0.02</v>
      </c>
      <c r="AK122" s="93">
        <f>$B$4</f>
        <v>0.3</v>
      </c>
      <c r="AL122" s="89">
        <f>$B$8</f>
        <v>0.3</v>
      </c>
      <c r="AM122" s="89">
        <f>(LN(AF122/AG122)+((AI122-AJ122+(0.5*AK122*AK122))*AL122))/(AK122*SQRT(AL122))</f>
        <v>-2.5301054222757622</v>
      </c>
      <c r="AN122" s="89">
        <f>AM122-(AK122*SQRT(AL122))</f>
        <v>-2.6944221895273119</v>
      </c>
      <c r="AO122" s="104">
        <f>(AF122*EXP(-AJ122*AL122)*NORMSDIST(AM122))-(AG122*EXP(-AI122*AL122)*NORMSDIST(AN122))</f>
        <v>2.0166881019831995E-2</v>
      </c>
      <c r="AP122" s="89">
        <f>(LN(AF122/AH122)+((AI122-AJ122+(0.5*AK122*AK122))*AL122))/(AK122*SQRT(AL122))</f>
        <v>-1.3088624607772095</v>
      </c>
      <c r="AQ122" s="89">
        <f>AP122-(AK122*SQRT(AL122))</f>
        <v>-1.4731792280287592</v>
      </c>
      <c r="AR122" s="108">
        <f>-(AF122*EXP(-AJ122*AL122)*NORMSDIST(-AP122))+(AH122*EXP(-AI122*AL122)*NORMSDIST(-AQ122))</f>
        <v>18.600570370401954</v>
      </c>
    </row>
    <row r="123" spans="1:44" x14ac:dyDescent="0.25">
      <c r="A123" s="72"/>
      <c r="C123" s="72"/>
      <c r="D123" s="72"/>
      <c r="G123" s="72"/>
      <c r="P123" s="72">
        <f>(($G$4*Q122)+((1-$G$4)*Q124))*EXP(-$B$5*$G$1)</f>
        <v>20.162334302982039</v>
      </c>
      <c r="R123" s="72">
        <f>(($G$4*S122)+((1-$G$4)*S124))*EXP(-$B$5*$G$1)</f>
        <v>20.159600062013514</v>
      </c>
      <c r="T123" s="72">
        <f>(($G$4*U122)+((1-$G$4)*U124))*EXP(-$B$5*$G$1)</f>
        <v>20.157701813913988</v>
      </c>
      <c r="V123" s="72">
        <f>(($G$4*W122)+((1-$G$4)*W124))*EXP(-$B$5*$G$1)</f>
        <v>20.156678018478441</v>
      </c>
      <c r="X123" s="72">
        <f>(($G$4*Y122)+((1-$G$4)*Y124))*EXP(-$B$5*$G$1)</f>
        <v>20.156601844871883</v>
      </c>
      <c r="Z123" s="72">
        <f>(($G$4*AA122)+((1-$G$4)*AA124))*EXP(-$B$5*$G$1)</f>
        <v>20.157552397021956</v>
      </c>
      <c r="AB123" s="72">
        <f>(($G$4*AC122)+((1-$G$4)*AC124))*EXP(-$B$5*$G$1)</f>
        <v>20.159615103144155</v>
      </c>
      <c r="AD123" s="72">
        <f>(($G$4*AE122)+((1-$G$4)*AE124))*EXP(-$B$5*$G$1)</f>
        <v>20.162882070737027</v>
      </c>
      <c r="AF123" s="99"/>
      <c r="AG123" s="89"/>
      <c r="AH123" s="89"/>
      <c r="AI123" s="89"/>
      <c r="AJ123" s="89"/>
      <c r="AK123" s="89"/>
      <c r="AL123" s="89"/>
      <c r="AM123" s="89"/>
      <c r="AN123" s="89"/>
      <c r="AO123" s="103"/>
      <c r="AP123" s="89"/>
      <c r="AQ123" s="89"/>
      <c r="AR123" s="107"/>
    </row>
    <row r="124" spans="1:44" x14ac:dyDescent="0.25">
      <c r="A124" s="76"/>
      <c r="B124" s="72"/>
      <c r="C124" s="72"/>
      <c r="D124" s="72"/>
      <c r="E124" s="72"/>
      <c r="Q124" s="72">
        <f>(($G$4*R123)+((1-$G$4)*R125))*EXP(-$B$5*$G$1)</f>
        <v>21.662382378503111</v>
      </c>
      <c r="S124" s="72">
        <f>(($G$4*T123)+((1-$G$4)*T125))*EXP(-$B$5*$G$1)</f>
        <v>21.668323231417776</v>
      </c>
      <c r="U124" s="72">
        <f>(($G$4*V123)+((1-$G$4)*V125))*EXP(-$B$5*$G$1)</f>
        <v>21.675195737807847</v>
      </c>
      <c r="W124" s="72">
        <f>(($G$4*X123)+((1-$G$4)*X125))*EXP(-$B$5*$G$1)</f>
        <v>21.683063128644022</v>
      </c>
      <c r="Y124" s="72">
        <f>(($G$4*Z123)+((1-$G$4)*Z125))*EXP(-$B$5*$G$1)</f>
        <v>21.691992481050832</v>
      </c>
      <c r="AA124" s="72">
        <f>(($G$4*AB123)+((1-$G$4)*AB125))*EXP(-$B$5*$G$1)</f>
        <v>21.702054751946019</v>
      </c>
      <c r="AC124" s="72">
        <f>(($G$4*AD123)+((1-$G$4)*AD125))*EXP(-$B$5*$G$1)</f>
        <v>21.713324723204405</v>
      </c>
      <c r="AE124" s="72">
        <f>MAX(AO124,AR124)</f>
        <v>21.725880820370797</v>
      </c>
      <c r="AF124" s="100">
        <f>AE61</f>
        <v>67.57592814766582</v>
      </c>
      <c r="AG124" s="96">
        <f>$B$3</f>
        <v>110</v>
      </c>
      <c r="AH124" s="96">
        <f>$B$2</f>
        <v>90</v>
      </c>
      <c r="AI124" s="93">
        <f>$B$5</f>
        <v>0.05</v>
      </c>
      <c r="AJ124" s="93">
        <f>$B$6</f>
        <v>0.02</v>
      </c>
      <c r="AK124" s="93">
        <f>$B$4</f>
        <v>0.3</v>
      </c>
      <c r="AL124" s="89">
        <f>$B$8</f>
        <v>0.3</v>
      </c>
      <c r="AM124" s="89">
        <f>(LN(AF124/AG124)+((AI124-AJ124+(0.5*AK124*AK124))*AL124))/(AK124*SQRT(AL124))</f>
        <v>-2.828247819275735</v>
      </c>
      <c r="AN124" s="89">
        <f>AM124-(AK124*SQRT(AL124))</f>
        <v>-2.9925645865272847</v>
      </c>
      <c r="AO124" s="104">
        <f>(AF124*EXP(-AJ124*AL124)*NORMSDIST(AM124))-(AG124*EXP(-AI124*AL124)*NORMSDIST(AN124))</f>
        <v>7.3047157662660123E-3</v>
      </c>
      <c r="AP124" s="89">
        <f>(LN(AF124/AH124)+((AI124-AJ124+(0.5*AK124*AK124))*AL124))/(AK124*SQRT(AL124))</f>
        <v>-1.6070048577771823</v>
      </c>
      <c r="AQ124" s="89">
        <f>AP124-(AK124*SQRT(AL124))</f>
        <v>-1.771321625028732</v>
      </c>
      <c r="AR124" s="108">
        <f>-(AF124*EXP(-AJ124*AL124)*NORMSDIST(-AP124))+(AH124*EXP(-AI124*AL124)*NORMSDIST(-AQ124))</f>
        <v>21.725880820370797</v>
      </c>
    </row>
    <row r="125" spans="1:44" x14ac:dyDescent="0.25">
      <c r="A125" s="73"/>
      <c r="B125" s="72"/>
      <c r="C125" s="72"/>
      <c r="D125" s="72"/>
      <c r="E125" s="72"/>
      <c r="I125" s="72"/>
      <c r="R125" s="72">
        <f>(($G$4*S124)+((1-$G$4)*S126))*EXP(-$B$5*$G$1)</f>
        <v>23.167331520016219</v>
      </c>
      <c r="T125" s="72">
        <f>(($G$4*U124)+((1-$G$4)*U126))*EXP(-$B$5*$G$1)</f>
        <v>23.18105168284243</v>
      </c>
      <c r="V125" s="72">
        <f>(($G$4*W124)+((1-$G$4)*W126))*EXP(-$B$5*$G$1)</f>
        <v>23.195760853561701</v>
      </c>
      <c r="X125" s="72">
        <f>(($G$4*Y124)+((1-$G$4)*Y126))*EXP(-$B$5*$G$1)</f>
        <v>23.211512447743058</v>
      </c>
      <c r="Z125" s="72">
        <f>(($G$4*AA124)+((1-$G$4)*AA126))*EXP(-$B$5*$G$1)</f>
        <v>23.228361658036182</v>
      </c>
      <c r="AB125" s="72">
        <f>(($G$4*AC124)+((1-$G$4)*AC126))*EXP(-$B$5*$G$1)</f>
        <v>23.246365134840897</v>
      </c>
      <c r="AD125" s="72">
        <f>(($G$4*AE124)+((1-$G$4)*AE126))*EXP(-$B$5*$G$1)</f>
        <v>23.26558052493537</v>
      </c>
      <c r="AF125" s="99"/>
      <c r="AG125" s="89"/>
      <c r="AH125" s="89"/>
      <c r="AI125" s="89"/>
      <c r="AJ125" s="89"/>
      <c r="AK125" s="89"/>
      <c r="AL125" s="89"/>
      <c r="AM125" s="89"/>
      <c r="AN125" s="89"/>
      <c r="AO125" s="103"/>
      <c r="AP125" s="89"/>
      <c r="AQ125" s="89"/>
      <c r="AR125" s="107"/>
    </row>
    <row r="126" spans="1:44" x14ac:dyDescent="0.25">
      <c r="A126" s="73"/>
      <c r="C126" s="72"/>
      <c r="D126" s="72"/>
      <c r="E126" s="72"/>
      <c r="S126" s="72">
        <f>(($G$4*T125)+((1-$G$4)*T127))*EXP(-$B$5*$G$1)</f>
        <v>24.669536705866047</v>
      </c>
      <c r="U126" s="72">
        <f>(($G$4*V125)+((1-$G$4)*V127))*EXP(-$B$5*$G$1)</f>
        <v>24.690057961002847</v>
      </c>
      <c r="W126" s="72">
        <f>(($G$4*X125)+((1-$G$4)*X127))*EXP(-$B$5*$G$1)</f>
        <v>24.711563052026936</v>
      </c>
      <c r="Y126" s="72">
        <f>(($G$4*Z125)+((1-$G$4)*Z127))*EXP(-$B$5*$G$1)</f>
        <v>24.734091879499385</v>
      </c>
      <c r="AA126" s="72">
        <f>(($G$4*AB125)+((1-$G$4)*AB127))*EXP(-$B$5*$G$1)</f>
        <v>24.757684036625651</v>
      </c>
      <c r="AC126" s="72">
        <f>(($G$4*AD125)+((1-$G$4)*AD127))*EXP(-$B$5*$G$1)</f>
        <v>24.782378227369151</v>
      </c>
      <c r="AE126" s="72">
        <f>MAX(AO126,AR126)</f>
        <v>24.808211526965607</v>
      </c>
      <c r="AF126" s="100">
        <f>AE63</f>
        <v>64.345180252570657</v>
      </c>
      <c r="AG126" s="96">
        <f>$B$3</f>
        <v>110</v>
      </c>
      <c r="AH126" s="96">
        <f>$B$2</f>
        <v>90</v>
      </c>
      <c r="AI126" s="93">
        <f>$B$5</f>
        <v>0.05</v>
      </c>
      <c r="AJ126" s="93">
        <f>$B$6</f>
        <v>0.02</v>
      </c>
      <c r="AK126" s="93">
        <f>$B$4</f>
        <v>0.3</v>
      </c>
      <c r="AL126" s="89">
        <f>$B$8</f>
        <v>0.3</v>
      </c>
      <c r="AM126" s="89">
        <f>(LN(AF126/AG126)+((AI126-AJ126+(0.5*AK126*AK126))*AL126))/(AK126*SQRT(AL126))</f>
        <v>-3.1263902162757069</v>
      </c>
      <c r="AN126" s="89">
        <f>AM126-(AK126*SQRT(AL126))</f>
        <v>-3.2907069835272567</v>
      </c>
      <c r="AO126" s="104">
        <f>(AF126*EXP(-AJ126*AL126)*NORMSDIST(AM126))-(AG126*EXP(-AI126*AL126)*NORMSDIST(AN126))</f>
        <v>2.4476878681470166E-3</v>
      </c>
      <c r="AP126" s="89">
        <f>(LN(AF126/AH126)+((AI126-AJ126+(0.5*AK126*AK126))*AL126))/(AK126*SQRT(AL126))</f>
        <v>-1.9051472547771546</v>
      </c>
      <c r="AQ126" s="89">
        <f>AP126-(AK126*SQRT(AL126))</f>
        <v>-2.0694640220287046</v>
      </c>
      <c r="AR126" s="108">
        <f>-(AF126*EXP(-AJ126*AL126)*NORMSDIST(-AP126))+(AH126*EXP(-AI126*AL126)*NORMSDIST(-AQ126))</f>
        <v>24.808211526965607</v>
      </c>
    </row>
    <row r="127" spans="1:44" x14ac:dyDescent="0.25">
      <c r="E127" s="72"/>
      <c r="T127" s="72">
        <f>(($G$4*U126)+((1-$G$4)*U128))*EXP(-$B$5*$G$1)</f>
        <v>26.162301751234232</v>
      </c>
      <c r="V127" s="72">
        <f>(($G$4*W126)+((1-$G$4)*W128))*EXP(-$B$5*$G$1)</f>
        <v>26.188601462818418</v>
      </c>
      <c r="X127" s="72">
        <f>(($G$4*Y126)+((1-$G$4)*Y128))*EXP(-$B$5*$G$1)</f>
        <v>26.215827552397588</v>
      </c>
      <c r="Z127" s="72">
        <f>(($G$4*AA126)+((1-$G$4)*AA128))*EXP(-$B$5*$G$1)</f>
        <v>26.244004779274004</v>
      </c>
      <c r="AB127" s="72">
        <f>(($G$4*AC126)+((1-$G$4)*AC128))*EXP(-$B$5*$G$1)</f>
        <v>26.27315584443572</v>
      </c>
      <c r="AD127" s="72">
        <f>(($G$4*AE126)+((1-$G$4)*AE128))*EXP(-$B$5*$G$1)</f>
        <v>26.303300688748998</v>
      </c>
      <c r="AF127" s="99"/>
      <c r="AG127" s="89"/>
      <c r="AH127" s="89"/>
      <c r="AI127" s="89"/>
      <c r="AJ127" s="89"/>
      <c r="AK127" s="89"/>
      <c r="AL127" s="89"/>
      <c r="AM127" s="89"/>
      <c r="AN127" s="89"/>
      <c r="AO127" s="103"/>
      <c r="AP127" s="89"/>
      <c r="AQ127" s="89"/>
      <c r="AR127" s="107"/>
    </row>
    <row r="128" spans="1:44" x14ac:dyDescent="0.25">
      <c r="E128" s="72"/>
      <c r="M128" s="72"/>
      <c r="U128" s="72">
        <f>(($G$4*V127)+((1-$G$4)*V129))*EXP(-$B$5*$G$1)</f>
        <v>27.639948910252855</v>
      </c>
      <c r="W128" s="72">
        <f>(($G$4*X127)+((1-$G$4)*X129))*EXP(-$B$5*$G$1)</f>
        <v>27.671021724254175</v>
      </c>
      <c r="Y128" s="72">
        <f>(($G$4*Z127)+((1-$G$4)*Z129))*EXP(-$B$5*$G$1)</f>
        <v>27.702924964552363</v>
      </c>
      <c r="AA128" s="72">
        <f>(($G$4*AB127)+((1-$G$4)*AB129))*EXP(-$B$5*$G$1)</f>
        <v>27.735668693596207</v>
      </c>
      <c r="AC128" s="72">
        <f>(($G$4*AD127)+((1-$G$4)*AD129))*EXP(-$B$5*$G$1)</f>
        <v>27.769259754586397</v>
      </c>
      <c r="AE128" s="72">
        <f>MAX(AO128,AR128)</f>
        <v>27.803701106573719</v>
      </c>
      <c r="AF128" s="100">
        <f>AE65</f>
        <v>61.268891678239143</v>
      </c>
      <c r="AG128" s="96">
        <f>$B$3</f>
        <v>110</v>
      </c>
      <c r="AH128" s="96">
        <f>$B$2</f>
        <v>90</v>
      </c>
      <c r="AI128" s="93">
        <f>$B$5</f>
        <v>0.05</v>
      </c>
      <c r="AJ128" s="93">
        <f>$B$6</f>
        <v>0.02</v>
      </c>
      <c r="AK128" s="93">
        <f>$B$4</f>
        <v>0.3</v>
      </c>
      <c r="AL128" s="89">
        <f>$B$8</f>
        <v>0.3</v>
      </c>
      <c r="AM128" s="89">
        <f>(LN(AF128/AG128)+((AI128-AJ128+(0.5*AK128*AK128))*AL128))/(AK128*SQRT(AL128))</f>
        <v>-3.4245326132756806</v>
      </c>
      <c r="AN128" s="89">
        <f>AM128-(AK128*SQRT(AL128))</f>
        <v>-3.5888493805272303</v>
      </c>
      <c r="AO128" s="104">
        <f>(AF128*EXP(-AJ128*AL128)*NORMSDIST(AM128))-(AG128*EXP(-AI128*AL128)*NORMSDIST(AN128))</f>
        <v>7.5784134570646561E-4</v>
      </c>
      <c r="AP128" s="89">
        <f>(LN(AF128/AH128)+((AI128-AJ128+(0.5*AK128*AK128))*AL128))/(AK128*SQRT(AL128))</f>
        <v>-2.2032896517771268</v>
      </c>
      <c r="AQ128" s="89">
        <f>AP128-(AK128*SQRT(AL128))</f>
        <v>-2.3676064190286765</v>
      </c>
      <c r="AR128" s="108">
        <f>-(AF128*EXP(-AJ128*AL128)*NORMSDIST(-AP128))+(AH128*EXP(-AI128*AL128)*NORMSDIST(-AQ128))</f>
        <v>27.803701106573719</v>
      </c>
    </row>
    <row r="129" spans="5:44" x14ac:dyDescent="0.25">
      <c r="E129" s="72"/>
      <c r="V129" s="72">
        <f>(($G$4*W128)+((1-$G$4)*W130))*EXP(-$B$5*$G$1)</f>
        <v>29.097850882245048</v>
      </c>
      <c r="X129" s="72">
        <f>(($G$4*Y128)+((1-$G$4)*Y130))*EXP(-$B$5*$G$1)</f>
        <v>29.132759779106078</v>
      </c>
      <c r="Z129" s="72">
        <f>(($G$4*AA128)+((1-$G$4)*AA130))*EXP(-$B$5*$G$1)</f>
        <v>29.168379924169628</v>
      </c>
      <c r="AB129" s="72">
        <f>(($G$4*AC128)+((1-$G$4)*AC130))*EXP(-$B$5*$G$1)</f>
        <v>29.204708850785686</v>
      </c>
      <c r="AD129" s="72">
        <f>(($G$4*AE128)+((1-$G$4)*AE130))*EXP(-$B$5*$G$1)</f>
        <v>29.241740415524994</v>
      </c>
      <c r="AF129" s="99"/>
      <c r="AG129" s="89"/>
      <c r="AH129" s="89"/>
      <c r="AI129" s="89"/>
      <c r="AJ129" s="89"/>
      <c r="AK129" s="89"/>
      <c r="AL129" s="89"/>
      <c r="AM129" s="89"/>
      <c r="AN129" s="89"/>
      <c r="AO129" s="103"/>
      <c r="AP129" s="89"/>
      <c r="AQ129" s="89"/>
      <c r="AR129" s="107"/>
    </row>
    <row r="130" spans="5:44" x14ac:dyDescent="0.25">
      <c r="O130" s="72"/>
      <c r="W130" s="72">
        <f>(($G$4*X129)+((1-$G$4)*X131))*EXP(-$B$5*$G$1)</f>
        <v>30.532402056863987</v>
      </c>
      <c r="Y130" s="72">
        <f>(($G$4*Z129)+((1-$G$4)*Z131))*EXP(-$B$5*$G$1)</f>
        <v>30.570315354489022</v>
      </c>
      <c r="AA130" s="72">
        <f>(($G$4*AB129)+((1-$G$4)*AB131))*EXP(-$B$5*$G$1)</f>
        <v>30.608812182887128</v>
      </c>
      <c r="AC130" s="72">
        <f>(($G$4*AD129)+((1-$G$4)*AD131))*EXP(-$B$5*$G$1)</f>
        <v>30.647880839613805</v>
      </c>
      <c r="AE130" s="72">
        <f>MAX(AO130,AR130)</f>
        <v>30.687506148688286</v>
      </c>
      <c r="AF130" s="100">
        <f>AE67</f>
        <v>58.339677855356236</v>
      </c>
      <c r="AG130" s="96">
        <f>$B$3</f>
        <v>110</v>
      </c>
      <c r="AH130" s="96">
        <f>$B$2</f>
        <v>90</v>
      </c>
      <c r="AI130" s="93">
        <f>$B$5</f>
        <v>0.05</v>
      </c>
      <c r="AJ130" s="93">
        <f>$B$6</f>
        <v>0.02</v>
      </c>
      <c r="AK130" s="93">
        <f>$B$4</f>
        <v>0.3</v>
      </c>
      <c r="AL130" s="89">
        <f>$B$8</f>
        <v>0.3</v>
      </c>
      <c r="AM130" s="89">
        <f>(LN(AF130/AG130)+((AI130-AJ130+(0.5*AK130*AK130))*AL130))/(AK130*SQRT(AL130))</f>
        <v>-3.7226750102756534</v>
      </c>
      <c r="AN130" s="89">
        <f>AM130-(AK130*SQRT(AL130))</f>
        <v>-3.8869917775272032</v>
      </c>
      <c r="AO130" s="104">
        <f>(AF130*EXP(-AJ130*AL130)*NORMSDIST(AM130))-(AG130*EXP(-AI130*AL130)*NORMSDIST(AN130))</f>
        <v>2.1658182957377033E-4</v>
      </c>
      <c r="AP130" s="89">
        <f>(LN(AF130/AH130)+((AI130-AJ130+(0.5*AK130*AK130))*AL130))/(AK130*SQRT(AL130))</f>
        <v>-2.5014320487771005</v>
      </c>
      <c r="AQ130" s="89">
        <f>AP130-(AK130*SQRT(AL130))</f>
        <v>-2.6657488160286502</v>
      </c>
      <c r="AR130" s="108">
        <f>-(AF130*EXP(-AJ130*AL130)*NORMSDIST(-AP130))+(AH130*EXP(-AI130*AL130)*NORMSDIST(-AQ130))</f>
        <v>30.687506148688286</v>
      </c>
    </row>
    <row r="131" spans="5:44" x14ac:dyDescent="0.25">
      <c r="X131" s="72">
        <f>(($G$4*Y130)+((1-$G$4)*Y132))*EXP(-$B$5*$G$1)</f>
        <v>31.940940033942137</v>
      </c>
      <c r="Z131" s="72">
        <f>(($G$4*AA130)+((1-$G$4)*AA132))*EXP(-$B$5*$G$1)</f>
        <v>31.981153016505377</v>
      </c>
      <c r="AB131" s="72">
        <f>(($G$4*AC130)+((1-$G$4)*AC132))*EXP(-$B$5*$G$1)</f>
        <v>32.021825684924018</v>
      </c>
      <c r="AD131" s="72">
        <f>(($G$4*AE130)+((1-$G$4)*AE132))*EXP(-$B$5*$G$1)</f>
        <v>32.062940815164936</v>
      </c>
      <c r="AF131" s="99"/>
      <c r="AG131" s="89"/>
      <c r="AH131" s="89"/>
      <c r="AI131" s="89"/>
      <c r="AJ131" s="89"/>
      <c r="AK131" s="89"/>
      <c r="AL131" s="89"/>
      <c r="AM131" s="89"/>
      <c r="AN131" s="89"/>
      <c r="AO131" s="103"/>
      <c r="AP131" s="89"/>
      <c r="AQ131" s="89"/>
      <c r="AR131" s="107"/>
    </row>
    <row r="132" spans="5:44" x14ac:dyDescent="0.25">
      <c r="Q132" s="72"/>
      <c r="Y132" s="72">
        <f>(($G$4*Z131)+((1-$G$4)*Z133))*EXP(-$B$5*$G$1)</f>
        <v>33.321631705648308</v>
      </c>
      <c r="AA132" s="72">
        <f>(($G$4*AB131)+((1-$G$4)*AB133))*EXP(-$B$5*$G$1)</f>
        <v>33.363573593214802</v>
      </c>
      <c r="AC132" s="72">
        <f>(($G$4*AD131)+((1-$G$4)*AD133))*EXP(-$B$5*$G$1)</f>
        <v>33.40586424120616</v>
      </c>
      <c r="AE132" s="72">
        <f>MAX(AO132,AR132)</f>
        <v>33.448484382750763</v>
      </c>
      <c r="AF132" s="100">
        <f>AE69</f>
        <v>55.550507264611902</v>
      </c>
      <c r="AG132" s="96">
        <f>$B$3</f>
        <v>110</v>
      </c>
      <c r="AH132" s="96">
        <f>$B$2</f>
        <v>90</v>
      </c>
      <c r="AI132" s="93">
        <f>$B$5</f>
        <v>0.05</v>
      </c>
      <c r="AJ132" s="93">
        <f>$B$6</f>
        <v>0.02</v>
      </c>
      <c r="AK132" s="93">
        <f>$B$4</f>
        <v>0.3</v>
      </c>
      <c r="AL132" s="89">
        <f>$B$8</f>
        <v>0.3</v>
      </c>
      <c r="AM132" s="89">
        <f>(LN(AF132/AG132)+((AI132-AJ132+(0.5*AK132*AK132))*AL132))/(AK132*SQRT(AL132))</f>
        <v>-4.0208174072756258</v>
      </c>
      <c r="AN132" s="89">
        <f>AM132-(AK132*SQRT(AL132))</f>
        <v>-4.1851341745271755</v>
      </c>
      <c r="AO132" s="104">
        <f>(AF132*EXP(-AJ132*AL132)*NORMSDIST(AM132))-(AG132*EXP(-AI132*AL132)*NORMSDIST(AN132))</f>
        <v>5.7081971387397661E-5</v>
      </c>
      <c r="AP132" s="89">
        <f>(LN(AF132/AH132)+((AI132-AJ132+(0.5*AK132*AK132))*AL132))/(AK132*SQRT(AL132))</f>
        <v>-2.7995744457770715</v>
      </c>
      <c r="AQ132" s="89">
        <f>AP132-(AK132*SQRT(AL132))</f>
        <v>-2.9638912130286212</v>
      </c>
      <c r="AR132" s="108">
        <f>-(AF132*EXP(-AJ132*AL132)*NORMSDIST(-AP132))+(AH132*EXP(-AI132*AL132)*NORMSDIST(-AQ132))</f>
        <v>33.448484382750763</v>
      </c>
    </row>
    <row r="133" spans="5:44" x14ac:dyDescent="0.25">
      <c r="Z133" s="72">
        <f>(($G$4*AA132)+((1-$G$4)*AA134))*EXP(-$B$5*$G$1)</f>
        <v>34.673339362611593</v>
      </c>
      <c r="AB133" s="72">
        <f>(($G$4*AC132)+((1-$G$4)*AC134))*EXP(-$B$5*$G$1)</f>
        <v>34.716568002102022</v>
      </c>
      <c r="AD133" s="72">
        <f>(($G$4*AE132)+((1-$G$4)*AE134))*EXP(-$B$5*$G$1)</f>
        <v>34.760052694064463</v>
      </c>
      <c r="AF133" s="99"/>
      <c r="AG133" s="89"/>
      <c r="AH133" s="89"/>
      <c r="AI133" s="89"/>
      <c r="AJ133" s="89"/>
      <c r="AK133" s="89"/>
      <c r="AL133" s="89"/>
      <c r="AM133" s="89"/>
      <c r="AN133" s="89"/>
      <c r="AO133" s="103"/>
      <c r="AP133" s="89"/>
      <c r="AQ133" s="89"/>
      <c r="AR133" s="107"/>
    </row>
    <row r="134" spans="5:44" x14ac:dyDescent="0.25">
      <c r="S134" s="72"/>
      <c r="AA134" s="72">
        <f>(($G$4*AB133)+((1-$G$4)*AB135))*EXP(-$B$5*$G$1)</f>
        <v>35.995481437513803</v>
      </c>
      <c r="AC134" s="72">
        <f>(($G$4*AD133)+((1-$G$4)*AD135))*EXP(-$B$5*$G$1)</f>
        <v>36.039669148833099</v>
      </c>
      <c r="AE134" s="72">
        <f>MAX(AO134,AR134)</f>
        <v>36.084040238695842</v>
      </c>
      <c r="AF134" s="100">
        <f>AE71</f>
        <v>52.894684557679348</v>
      </c>
      <c r="AG134" s="96">
        <f>$B$3</f>
        <v>110</v>
      </c>
      <c r="AH134" s="96">
        <f>$B$2</f>
        <v>90</v>
      </c>
      <c r="AI134" s="93">
        <f>$B$5</f>
        <v>0.05</v>
      </c>
      <c r="AJ134" s="93">
        <f>$B$6</f>
        <v>0.02</v>
      </c>
      <c r="AK134" s="93">
        <f>$B$4</f>
        <v>0.3</v>
      </c>
      <c r="AL134" s="89">
        <f>$B$8</f>
        <v>0.3</v>
      </c>
      <c r="AM134" s="89">
        <f>(LN(AF134/AG134)+((AI134-AJ134+(0.5*AK134*AK134))*AL134))/(AK134*SQRT(AL134))</f>
        <v>-4.3189598042755977</v>
      </c>
      <c r="AN134" s="89">
        <f>AM134-(AK134*SQRT(AL134))</f>
        <v>-4.4832765715271474</v>
      </c>
      <c r="AO134" s="104">
        <f>(AF134*EXP(-AJ134*AL134)*NORMSDIST(AM134))-(AG134*EXP(-AI134*AL134)*NORMSDIST(AN134))</f>
        <v>1.3863461988719496E-5</v>
      </c>
      <c r="AP134" s="89">
        <f>(LN(AF134/AH134)+((AI134-AJ134+(0.5*AK134*AK134))*AL134))/(AK134*SQRT(AL134))</f>
        <v>-3.0977168427770452</v>
      </c>
      <c r="AQ134" s="89">
        <f>AP134-(AK134*SQRT(AL134))</f>
        <v>-3.2620336100285949</v>
      </c>
      <c r="AR134" s="108">
        <f>-(AF134*EXP(-AJ134*AL134)*NORMSDIST(-AP134))+(AH134*EXP(-AI134*AL134)*NORMSDIST(-AQ134))</f>
        <v>36.084040238695842</v>
      </c>
    </row>
    <row r="135" spans="5:44" x14ac:dyDescent="0.25">
      <c r="AB135" s="72">
        <f>(($G$4*AC134)+((1-$G$4)*AC136))*EXP(-$B$5*$G$1)</f>
        <v>37.287900016099023</v>
      </c>
      <c r="AD135" s="72">
        <f>(($G$4*AE134)+((1-$G$4)*AE136))*EXP(-$B$5*$G$1)</f>
        <v>37.332814374446571</v>
      </c>
      <c r="AF135" s="99"/>
      <c r="AG135" s="89"/>
      <c r="AH135" s="89"/>
      <c r="AI135" s="89"/>
      <c r="AJ135" s="89"/>
      <c r="AK135" s="89"/>
      <c r="AL135" s="89"/>
      <c r="AM135" s="89"/>
      <c r="AN135" s="89"/>
      <c r="AO135" s="103"/>
      <c r="AP135" s="89"/>
      <c r="AQ135" s="89"/>
      <c r="AR135" s="107"/>
    </row>
    <row r="136" spans="5:44" x14ac:dyDescent="0.25">
      <c r="U136" s="72"/>
      <c r="AC136" s="72">
        <f>(($G$4*AD135)+((1-$G$4)*AD137))*EXP(-$B$5*$G$1)</f>
        <v>38.550743745518609</v>
      </c>
      <c r="AE136" s="72">
        <f>MAX(AO136,AR136)</f>
        <v>38.596226781427767</v>
      </c>
      <c r="AF136" s="100">
        <f>AE73</f>
        <v>50.365834485165053</v>
      </c>
      <c r="AG136" s="96">
        <f>$B$3</f>
        <v>110</v>
      </c>
      <c r="AH136" s="96">
        <f>$B$2</f>
        <v>90</v>
      </c>
      <c r="AI136" s="93">
        <f>$B$5</f>
        <v>0.05</v>
      </c>
      <c r="AJ136" s="93">
        <f>$B$6</f>
        <v>0.02</v>
      </c>
      <c r="AK136" s="93">
        <f>$B$4</f>
        <v>0.3</v>
      </c>
      <c r="AL136" s="89">
        <f>$B$8</f>
        <v>0.3</v>
      </c>
      <c r="AM136" s="89">
        <f>(LN(AF136/AG136)+((AI136-AJ136+(0.5*AK136*AK136))*AL136))/(AK136*SQRT(AL136))</f>
        <v>-4.6171022012755714</v>
      </c>
      <c r="AN136" s="89">
        <f>AM136-(AK136*SQRT(AL136))</f>
        <v>-4.7814189685271211</v>
      </c>
      <c r="AO136" s="104">
        <f>(AF136*EXP(-AJ136*AL136)*NORMSDIST(AM136))-(AG136*EXP(-AI136*AL136)*NORMSDIST(AN136))</f>
        <v>3.1006015085263992E-6</v>
      </c>
      <c r="AP136" s="89">
        <f>(LN(AF136/AH136)+((AI136-AJ136+(0.5*AK136*AK136))*AL136))/(AK136*SQRT(AL136))</f>
        <v>-3.395859239777018</v>
      </c>
      <c r="AQ136" s="89">
        <f>AP136-(AK136*SQRT(AL136))</f>
        <v>-3.5601760070285677</v>
      </c>
      <c r="AR136" s="108">
        <f>-(AF136*EXP(-AJ136*AL136)*NORMSDIST(-AP136))+(AH136*EXP(-AI136*AL136)*NORMSDIST(-AQ136))</f>
        <v>38.596226781427767</v>
      </c>
    </row>
    <row r="137" spans="5:44" x14ac:dyDescent="0.25">
      <c r="AD137" s="72">
        <f>(($G$4*AE136)+((1-$G$4)*AE138))*EXP(-$B$5*$G$1)</f>
        <v>39.784370959712838</v>
      </c>
      <c r="AF137" s="99"/>
      <c r="AG137" s="89"/>
      <c r="AH137" s="89"/>
      <c r="AI137" s="89"/>
      <c r="AJ137" s="89"/>
      <c r="AK137" s="89"/>
      <c r="AL137" s="89"/>
      <c r="AM137" s="89"/>
      <c r="AN137" s="89"/>
      <c r="AO137" s="103"/>
      <c r="AP137" s="89"/>
      <c r="AQ137" s="89"/>
      <c r="AR137" s="107"/>
    </row>
    <row r="138" spans="5:44" x14ac:dyDescent="0.25">
      <c r="AE138" s="72">
        <f>MAX(AO138,AR138)</f>
        <v>40.989274362528178</v>
      </c>
      <c r="AF138" s="101">
        <f>AE75</f>
        <v>47.957886592949841</v>
      </c>
      <c r="AG138" s="97">
        <f>$B$3</f>
        <v>110</v>
      </c>
      <c r="AH138" s="97">
        <f>$B$2</f>
        <v>90</v>
      </c>
      <c r="AI138" s="94">
        <f>$B$5</f>
        <v>0.05</v>
      </c>
      <c r="AJ138" s="94">
        <f>$B$6</f>
        <v>0.02</v>
      </c>
      <c r="AK138" s="94">
        <f>$B$4</f>
        <v>0.3</v>
      </c>
      <c r="AL138" s="91">
        <f>$B$8</f>
        <v>0.3</v>
      </c>
      <c r="AM138" s="91">
        <f>(LN(AF138/AG138)+((AI138-AJ138+(0.5*AK138*AK138))*AL138))/(AK138*SQRT(AL138))</f>
        <v>-4.9152445982755442</v>
      </c>
      <c r="AN138" s="91">
        <f>AM138-(AK138*SQRT(AL138))</f>
        <v>-5.0795613655270939</v>
      </c>
      <c r="AO138" s="105">
        <f>(AF138*EXP(-AJ138*AL138)*NORMSDIST(AM138))-(AG138*EXP(-AI138*AL138)*NORMSDIST(AN138))</f>
        <v>6.3821092298362432E-7</v>
      </c>
      <c r="AP138" s="91">
        <f>(LN(AF138/AH138)+((AI138-AJ138+(0.5*AK138*AK138))*AL138))/(AK138*SQRT(AL138))</f>
        <v>-3.6940016367769908</v>
      </c>
      <c r="AQ138" s="91">
        <f>AP138-(AK138*SQRT(AL138))</f>
        <v>-3.8583184040285405</v>
      </c>
      <c r="AR138" s="109">
        <f>-(AF138*EXP(-AJ138*AL138)*NORMSDIST(-AP138))+(AH138*EXP(-AI138*AL138)*NORMSDIST(-AQ138))</f>
        <v>40.989274362528178</v>
      </c>
    </row>
  </sheetData>
  <mergeCells count="3">
    <mergeCell ref="E1:E5"/>
    <mergeCell ref="AM76:AO76"/>
    <mergeCell ref="AP76:AR76"/>
  </mergeCells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E1EA-84EA-4DA1-ADBB-84DAD364913C}">
  <dimension ref="C1:G43"/>
  <sheetViews>
    <sheetView topLeftCell="A14" workbookViewId="0">
      <selection activeCell="A14" sqref="A14"/>
    </sheetView>
  </sheetViews>
  <sheetFormatPr defaultRowHeight="12.5" x14ac:dyDescent="0.25"/>
  <cols>
    <col min="1" max="2" width="8.7265625" style="47"/>
    <col min="3" max="3" width="15.7265625" style="47" bestFit="1" customWidth="1"/>
    <col min="4" max="16384" width="8.7265625" style="47"/>
  </cols>
  <sheetData>
    <row r="1" spans="3:7" x14ac:dyDescent="0.25">
      <c r="C1" s="49" t="s">
        <v>56</v>
      </c>
      <c r="D1" s="49" t="s">
        <v>0</v>
      </c>
    </row>
    <row r="2" spans="3:7" x14ac:dyDescent="0.25">
      <c r="C2" s="49" t="s">
        <v>57</v>
      </c>
      <c r="D2" s="49" t="s">
        <v>0</v>
      </c>
    </row>
    <row r="3" spans="3:7" x14ac:dyDescent="0.25">
      <c r="C3" s="49" t="s">
        <v>58</v>
      </c>
      <c r="D3" s="49" t="s">
        <v>59</v>
      </c>
    </row>
    <row r="4" spans="3:7" x14ac:dyDescent="0.25">
      <c r="C4" s="49" t="s">
        <v>60</v>
      </c>
      <c r="D4" s="50" t="s">
        <v>61</v>
      </c>
    </row>
    <row r="5" spans="3:7" x14ac:dyDescent="0.25">
      <c r="C5" s="49" t="s">
        <v>5</v>
      </c>
      <c r="D5" s="49" t="s">
        <v>62</v>
      </c>
    </row>
    <row r="7" spans="3:7" x14ac:dyDescent="0.25">
      <c r="C7" s="202" t="s">
        <v>2</v>
      </c>
      <c r="D7" s="203" t="s">
        <v>63</v>
      </c>
      <c r="E7" s="204"/>
      <c r="F7" s="204"/>
      <c r="G7" s="205"/>
    </row>
    <row r="8" spans="3:7" x14ac:dyDescent="0.25">
      <c r="C8" s="202"/>
      <c r="D8" s="203" t="s">
        <v>64</v>
      </c>
      <c r="E8" s="204"/>
      <c r="F8" s="204"/>
      <c r="G8" s="205"/>
    </row>
    <row r="9" spans="3:7" x14ac:dyDescent="0.25">
      <c r="C9" s="77" t="s">
        <v>3</v>
      </c>
      <c r="D9" s="203" t="s">
        <v>65</v>
      </c>
      <c r="E9" s="204"/>
      <c r="F9" s="204"/>
      <c r="G9" s="205"/>
    </row>
    <row r="11" spans="3:7" x14ac:dyDescent="0.25">
      <c r="C11" s="49" t="s">
        <v>133</v>
      </c>
      <c r="D11" s="51"/>
    </row>
    <row r="12" spans="3:7" x14ac:dyDescent="0.25">
      <c r="C12" s="49" t="s">
        <v>129</v>
      </c>
    </row>
    <row r="13" spans="3:7" x14ac:dyDescent="0.25">
      <c r="C13" s="49" t="s">
        <v>130</v>
      </c>
    </row>
    <row r="15" spans="3:7" x14ac:dyDescent="0.25">
      <c r="C15" s="49" t="s">
        <v>66</v>
      </c>
      <c r="D15" s="49"/>
      <c r="F15" s="49"/>
    </row>
    <row r="16" spans="3:7" x14ac:dyDescent="0.25">
      <c r="D16" s="49" t="s">
        <v>17</v>
      </c>
      <c r="F16" s="51" t="s">
        <v>131</v>
      </c>
    </row>
    <row r="17" spans="3:6" x14ac:dyDescent="0.25">
      <c r="D17" s="49" t="s">
        <v>67</v>
      </c>
    </row>
    <row r="18" spans="3:6" x14ac:dyDescent="0.25">
      <c r="D18" s="49" t="s">
        <v>68</v>
      </c>
    </row>
    <row r="19" spans="3:6" x14ac:dyDescent="0.25">
      <c r="D19" s="49" t="s">
        <v>69</v>
      </c>
    </row>
    <row r="20" spans="3:6" x14ac:dyDescent="0.25">
      <c r="D20" s="49" t="s">
        <v>70</v>
      </c>
    </row>
    <row r="21" spans="3:6" x14ac:dyDescent="0.25">
      <c r="D21" s="49" t="s">
        <v>71</v>
      </c>
    </row>
    <row r="22" spans="3:6" x14ac:dyDescent="0.25">
      <c r="D22" s="52" t="s">
        <v>72</v>
      </c>
    </row>
    <row r="25" spans="3:6" x14ac:dyDescent="0.25">
      <c r="C25" s="49" t="s">
        <v>73</v>
      </c>
    </row>
    <row r="26" spans="3:6" x14ac:dyDescent="0.25">
      <c r="C26" s="49" t="s">
        <v>132</v>
      </c>
    </row>
    <row r="27" spans="3:6" x14ac:dyDescent="0.25">
      <c r="C27" s="49" t="s">
        <v>75</v>
      </c>
    </row>
    <row r="28" spans="3:6" x14ac:dyDescent="0.25">
      <c r="C28" s="49" t="s">
        <v>74</v>
      </c>
    </row>
    <row r="29" spans="3:6" x14ac:dyDescent="0.25">
      <c r="C29" s="49" t="s">
        <v>77</v>
      </c>
    </row>
    <row r="31" spans="3:6" x14ac:dyDescent="0.25">
      <c r="C31" s="49" t="s">
        <v>78</v>
      </c>
    </row>
    <row r="32" spans="3:6" x14ac:dyDescent="0.25">
      <c r="E32" s="49" t="s">
        <v>76</v>
      </c>
      <c r="F32" s="52">
        <f>100*(100/144)*0.7708</f>
        <v>53.527777777777779</v>
      </c>
    </row>
    <row r="35" spans="3:3" x14ac:dyDescent="0.25">
      <c r="C35" s="49"/>
    </row>
    <row r="36" spans="3:3" x14ac:dyDescent="0.25">
      <c r="C36" s="49"/>
    </row>
    <row r="37" spans="3:3" x14ac:dyDescent="0.25">
      <c r="C37" s="49"/>
    </row>
    <row r="38" spans="3:3" x14ac:dyDescent="0.25">
      <c r="C38" s="49"/>
    </row>
    <row r="39" spans="3:3" x14ac:dyDescent="0.25">
      <c r="C39" s="49"/>
    </row>
    <row r="40" spans="3:3" x14ac:dyDescent="0.25">
      <c r="C40" s="49"/>
    </row>
    <row r="41" spans="3:3" x14ac:dyDescent="0.25">
      <c r="C41" s="49"/>
    </row>
    <row r="42" spans="3:3" x14ac:dyDescent="0.25">
      <c r="C42" s="49"/>
    </row>
    <row r="43" spans="3:3" x14ac:dyDescent="0.25">
      <c r="C43" s="49"/>
    </row>
  </sheetData>
  <mergeCells count="4">
    <mergeCell ref="C7:C8"/>
    <mergeCell ref="D8:G8"/>
    <mergeCell ref="D7:G7"/>
    <mergeCell ref="D9:G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BFA3-86EC-4C04-A0CE-E48916E326D3}">
  <dimension ref="A1:O81"/>
  <sheetViews>
    <sheetView topLeftCell="A35" workbookViewId="0">
      <selection activeCell="J43" sqref="J43"/>
    </sheetView>
  </sheetViews>
  <sheetFormatPr defaultColWidth="9.1796875" defaultRowHeight="14.5" x14ac:dyDescent="0.35"/>
  <cols>
    <col min="1" max="1" width="12.26953125" style="113" customWidth="1"/>
    <col min="2" max="3" width="10.26953125" style="113" bestFit="1" customWidth="1"/>
    <col min="4" max="4" width="18" style="113" bestFit="1" customWidth="1"/>
    <col min="5" max="5" width="10.36328125" style="113" bestFit="1" customWidth="1"/>
    <col min="6" max="8" width="9.1796875" style="113"/>
    <col min="9" max="9" width="12.1796875" style="113" bestFit="1" customWidth="1"/>
    <col min="10" max="10" width="11.81640625" style="113" bestFit="1" customWidth="1"/>
    <col min="11" max="11" width="9.1796875" style="113"/>
    <col min="12" max="12" width="12.36328125" style="113" bestFit="1" customWidth="1"/>
    <col min="13" max="13" width="15.26953125" style="113" bestFit="1" customWidth="1"/>
    <col min="14" max="14" width="13.6328125" style="113" bestFit="1" customWidth="1"/>
    <col min="15" max="16384" width="9.1796875" style="113"/>
  </cols>
  <sheetData>
    <row r="1" spans="1:14" ht="18.5" x14ac:dyDescent="0.45">
      <c r="A1" s="110" t="s">
        <v>66</v>
      </c>
      <c r="B1" s="111"/>
      <c r="C1" s="111"/>
      <c r="D1" s="111"/>
      <c r="E1" s="111"/>
      <c r="F1" s="111"/>
      <c r="G1" s="111"/>
      <c r="H1" s="112"/>
      <c r="I1" s="112"/>
      <c r="J1" s="112"/>
      <c r="K1" s="112"/>
      <c r="L1" s="112"/>
      <c r="M1" s="112"/>
    </row>
    <row r="2" spans="1:14" ht="18.5" x14ac:dyDescent="0.45">
      <c r="A2" s="114"/>
      <c r="B2" s="115" t="s">
        <v>156</v>
      </c>
      <c r="C2" s="115" t="s">
        <v>157</v>
      </c>
      <c r="D2" s="116" t="s">
        <v>179</v>
      </c>
      <c r="E2" s="117" t="s">
        <v>158</v>
      </c>
      <c r="F2" s="117" t="s">
        <v>159</v>
      </c>
      <c r="G2" s="117" t="s">
        <v>160</v>
      </c>
      <c r="H2" s="116" t="s">
        <v>161</v>
      </c>
      <c r="I2" s="116" t="s">
        <v>162</v>
      </c>
      <c r="J2" s="114"/>
      <c r="K2" s="114"/>
      <c r="L2" s="118" t="s">
        <v>163</v>
      </c>
      <c r="M2" s="119">
        <f>SUM(H4:H11)/SUM(I4:I11)</f>
        <v>0.12566019963644465</v>
      </c>
      <c r="N2" s="113" t="s">
        <v>177</v>
      </c>
    </row>
    <row r="3" spans="1:14" ht="18.5" x14ac:dyDescent="0.45">
      <c r="A3" s="114"/>
      <c r="B3" s="120">
        <v>45744</v>
      </c>
      <c r="C3" s="121"/>
      <c r="D3" s="115"/>
      <c r="E3" s="134"/>
      <c r="F3" s="150">
        <v>1</v>
      </c>
      <c r="G3" s="150"/>
      <c r="H3" s="136"/>
      <c r="I3" s="136"/>
      <c r="J3" s="112"/>
      <c r="K3" s="112"/>
      <c r="L3" s="112"/>
      <c r="M3" s="119">
        <f>(1-F11)/SUM(I4:I11)</f>
        <v>0.12566019963644462</v>
      </c>
      <c r="N3" s="113" t="s">
        <v>178</v>
      </c>
    </row>
    <row r="4" spans="1:14" ht="18.5" x14ac:dyDescent="0.45">
      <c r="A4" s="114"/>
      <c r="B4" s="123">
        <f>EDATE(B3,3)</f>
        <v>45836</v>
      </c>
      <c r="C4" s="124">
        <v>0.04</v>
      </c>
      <c r="D4" s="125">
        <f>(B4-$B$3)/365</f>
        <v>0.25205479452054796</v>
      </c>
      <c r="E4" s="139">
        <f>D4</f>
        <v>0.25205479452054796</v>
      </c>
      <c r="F4" s="152">
        <f>EXP(-C4*D4)</f>
        <v>0.98996846313427345</v>
      </c>
      <c r="G4" s="152">
        <f>((F3/F4)-1)/E4</f>
        <v>4.0202323217775247E-2</v>
      </c>
      <c r="H4" s="141">
        <f>G4*E4*F4</f>
        <v>1.0031536865726581E-2</v>
      </c>
      <c r="I4" s="141">
        <f>E4*F4</f>
        <v>0.24952629755713196</v>
      </c>
      <c r="J4" s="112"/>
      <c r="K4" s="112"/>
      <c r="L4" s="112"/>
      <c r="M4" s="112"/>
    </row>
    <row r="5" spans="1:14" ht="18.5" x14ac:dyDescent="0.45">
      <c r="A5" s="114"/>
      <c r="B5" s="123">
        <f t="shared" ref="B5:B11" si="0">EDATE(B4,3)</f>
        <v>45928</v>
      </c>
      <c r="C5" s="124">
        <v>4.4999999999999998E-2</v>
      </c>
      <c r="D5" s="125">
        <f t="shared" ref="D5:D11" si="1">(B5-$B$3)/365</f>
        <v>0.50410958904109593</v>
      </c>
      <c r="E5" s="139">
        <f>(D5-D4)</f>
        <v>0.25205479452054796</v>
      </c>
      <c r="F5" s="152">
        <f t="shared" ref="F5:F11" si="2">EXP(-C5*D5)</f>
        <v>0.9775704369020688</v>
      </c>
      <c r="G5" s="152">
        <f t="shared" ref="G5:G11" si="3">((F4/F5)-1)/E5</f>
        <v>5.0316396249258648E-2</v>
      </c>
      <c r="H5" s="141">
        <f t="shared" ref="H5:H11" si="4">G5*E5*F5</f>
        <v>1.2398026232204758E-2</v>
      </c>
      <c r="I5" s="141">
        <f t="shared" ref="I5:I11" si="5">E5*F5</f>
        <v>0.24640131560271325</v>
      </c>
      <c r="J5" s="112"/>
      <c r="K5" s="112"/>
      <c r="L5" s="112"/>
      <c r="M5" s="112"/>
    </row>
    <row r="6" spans="1:14" ht="18.5" x14ac:dyDescent="0.45">
      <c r="A6" s="114"/>
      <c r="B6" s="123">
        <f t="shared" si="0"/>
        <v>46019</v>
      </c>
      <c r="C6" s="124">
        <v>0.05</v>
      </c>
      <c r="D6" s="125">
        <f t="shared" si="1"/>
        <v>0.75342465753424659</v>
      </c>
      <c r="E6" s="139">
        <f t="shared" ref="E6:E11" si="6">(D6-D5)</f>
        <v>0.24931506849315066</v>
      </c>
      <c r="F6" s="152">
        <f t="shared" si="2"/>
        <v>0.96302950128980258</v>
      </c>
      <c r="G6" s="152">
        <f t="shared" si="3"/>
        <v>6.0562561034926556E-2</v>
      </c>
      <c r="H6" s="141">
        <f t="shared" si="4"/>
        <v>1.4540935612266213E-2</v>
      </c>
      <c r="I6" s="141">
        <f t="shared" si="5"/>
        <v>0.24009776607499186</v>
      </c>
      <c r="J6" s="112"/>
      <c r="K6" s="112"/>
      <c r="L6" s="112"/>
      <c r="M6" s="112"/>
    </row>
    <row r="7" spans="1:14" ht="18.5" x14ac:dyDescent="0.45">
      <c r="A7" s="114"/>
      <c r="B7" s="123">
        <f t="shared" si="0"/>
        <v>46109</v>
      </c>
      <c r="C7" s="124">
        <v>0.06</v>
      </c>
      <c r="D7" s="125">
        <f t="shared" si="1"/>
        <v>1</v>
      </c>
      <c r="E7" s="139">
        <f t="shared" si="6"/>
        <v>0.24657534246575341</v>
      </c>
      <c r="F7" s="152">
        <f t="shared" si="2"/>
        <v>0.94176453358424872</v>
      </c>
      <c r="G7" s="152">
        <f t="shared" si="3"/>
        <v>9.1574119476281093E-2</v>
      </c>
      <c r="H7" s="141">
        <f t="shared" si="4"/>
        <v>2.1264967705553785E-2</v>
      </c>
      <c r="I7" s="141">
        <f t="shared" si="5"/>
        <v>0.23221591239063666</v>
      </c>
      <c r="J7" s="112"/>
      <c r="K7" s="112"/>
      <c r="L7" s="112"/>
      <c r="M7" s="112"/>
    </row>
    <row r="8" spans="1:14" ht="18.5" x14ac:dyDescent="0.45">
      <c r="A8" s="114"/>
      <c r="B8" s="123">
        <f t="shared" si="0"/>
        <v>46201</v>
      </c>
      <c r="C8" s="124">
        <v>7.0000000000000007E-2</v>
      </c>
      <c r="D8" s="125">
        <f t="shared" si="1"/>
        <v>1.252054794520548</v>
      </c>
      <c r="E8" s="139">
        <f t="shared" si="6"/>
        <v>0.25205479452054802</v>
      </c>
      <c r="F8" s="152">
        <f t="shared" si="2"/>
        <v>0.91608709622190843</v>
      </c>
      <c r="G8" s="152">
        <f t="shared" si="3"/>
        <v>0.1112038823922127</v>
      </c>
      <c r="H8" s="141">
        <f t="shared" si="4"/>
        <v>2.5677437362340273E-2</v>
      </c>
      <c r="I8" s="141">
        <f t="shared" si="5"/>
        <v>0.23090414480113863</v>
      </c>
      <c r="J8" s="112"/>
      <c r="K8" s="112"/>
      <c r="L8" s="112"/>
      <c r="M8" s="112"/>
    </row>
    <row r="9" spans="1:14" ht="18.5" x14ac:dyDescent="0.45">
      <c r="A9" s="114"/>
      <c r="B9" s="123">
        <f t="shared" si="0"/>
        <v>46293</v>
      </c>
      <c r="C9" s="126">
        <v>0.08</v>
      </c>
      <c r="D9" s="125">
        <f t="shared" si="1"/>
        <v>1.5041095890410958</v>
      </c>
      <c r="E9" s="139">
        <f t="shared" si="6"/>
        <v>0.2520547945205478</v>
      </c>
      <c r="F9" s="152">
        <f t="shared" si="2"/>
        <v>0.88662889436398939</v>
      </c>
      <c r="G9" s="152">
        <f t="shared" si="3"/>
        <v>0.13181638297121798</v>
      </c>
      <c r="H9" s="141">
        <f t="shared" si="4"/>
        <v>2.9458201857919079E-2</v>
      </c>
      <c r="I9" s="141">
        <f t="shared" si="5"/>
        <v>0.22347906378489582</v>
      </c>
      <c r="J9" s="112"/>
      <c r="K9" s="112"/>
      <c r="L9" s="112"/>
      <c r="M9" s="112"/>
    </row>
    <row r="10" spans="1:14" ht="18.5" x14ac:dyDescent="0.45">
      <c r="A10" s="114"/>
      <c r="B10" s="123">
        <f t="shared" si="0"/>
        <v>46384</v>
      </c>
      <c r="C10" s="124">
        <v>0.1</v>
      </c>
      <c r="D10" s="125">
        <f t="shared" si="1"/>
        <v>1.7534246575342465</v>
      </c>
      <c r="E10" s="139">
        <f t="shared" si="6"/>
        <v>0.24931506849315066</v>
      </c>
      <c r="F10" s="152">
        <f t="shared" si="2"/>
        <v>0.8391695847094347</v>
      </c>
      <c r="G10" s="152">
        <f t="shared" si="3"/>
        <v>0.22684183621771267</v>
      </c>
      <c r="H10" s="141">
        <f t="shared" si="4"/>
        <v>4.7459309654554686E-2</v>
      </c>
      <c r="I10" s="141">
        <f t="shared" si="5"/>
        <v>0.2092176224892015</v>
      </c>
      <c r="J10" s="112"/>
      <c r="K10" s="112"/>
      <c r="L10" s="112"/>
      <c r="M10" s="112"/>
    </row>
    <row r="11" spans="1:14" ht="18.5" x14ac:dyDescent="0.45">
      <c r="A11" s="114"/>
      <c r="B11" s="127">
        <f t="shared" si="0"/>
        <v>46474</v>
      </c>
      <c r="C11" s="128">
        <v>0.13</v>
      </c>
      <c r="D11" s="129">
        <f t="shared" si="1"/>
        <v>2</v>
      </c>
      <c r="E11" s="144">
        <f t="shared" si="6"/>
        <v>0.24657534246575352</v>
      </c>
      <c r="F11" s="153">
        <f t="shared" si="2"/>
        <v>0.77105158580356625</v>
      </c>
      <c r="G11" s="153">
        <f t="shared" si="3"/>
        <v>0.35828514457708549</v>
      </c>
      <c r="H11" s="146">
        <f t="shared" si="4"/>
        <v>6.8117998905868407E-2</v>
      </c>
      <c r="I11" s="146">
        <f t="shared" si="5"/>
        <v>0.19012230882827669</v>
      </c>
      <c r="J11" s="112"/>
      <c r="K11" s="112"/>
      <c r="L11" s="112"/>
      <c r="M11" s="112"/>
    </row>
    <row r="12" spans="1:14" ht="18.5" x14ac:dyDescent="0.45">
      <c r="A12" s="114"/>
      <c r="B12" s="130"/>
      <c r="C12" s="131"/>
      <c r="D12" s="132"/>
      <c r="E12" s="122"/>
      <c r="F12" s="122"/>
      <c r="G12" s="122"/>
      <c r="H12" s="112"/>
      <c r="I12" s="112"/>
      <c r="J12" s="112"/>
      <c r="K12" s="112"/>
      <c r="L12" s="112"/>
      <c r="M12" s="112"/>
    </row>
    <row r="13" spans="1:14" ht="18.5" x14ac:dyDescent="0.45">
      <c r="A13" s="110" t="s">
        <v>164</v>
      </c>
      <c r="B13" s="122"/>
      <c r="C13" s="122"/>
      <c r="D13" s="122"/>
      <c r="E13" s="122"/>
      <c r="F13" s="122"/>
      <c r="G13" s="122"/>
      <c r="H13" s="112"/>
      <c r="I13" s="112"/>
      <c r="J13" s="112"/>
      <c r="K13" s="112"/>
      <c r="L13" s="112"/>
      <c r="M13" s="112"/>
    </row>
    <row r="14" spans="1:14" ht="18.5" x14ac:dyDescent="0.45">
      <c r="A14" s="114"/>
      <c r="B14" s="115" t="s">
        <v>156</v>
      </c>
      <c r="C14" s="115" t="s">
        <v>157</v>
      </c>
      <c r="D14" s="116" t="s">
        <v>165</v>
      </c>
      <c r="E14" s="116" t="s">
        <v>179</v>
      </c>
      <c r="F14" s="117" t="s">
        <v>158</v>
      </c>
      <c r="G14" s="117" t="s">
        <v>159</v>
      </c>
      <c r="H14" s="117" t="s">
        <v>160</v>
      </c>
      <c r="I14" s="116" t="s">
        <v>166</v>
      </c>
      <c r="J14" s="116" t="s">
        <v>167</v>
      </c>
      <c r="K14" s="112"/>
      <c r="L14" s="112"/>
      <c r="M14" s="112"/>
    </row>
    <row r="15" spans="1:14" ht="18.5" x14ac:dyDescent="0.45">
      <c r="A15" s="114"/>
      <c r="B15" s="120">
        <v>45744</v>
      </c>
      <c r="C15" s="121"/>
      <c r="D15" s="133"/>
      <c r="E15" s="115"/>
      <c r="F15" s="134"/>
      <c r="G15" s="134">
        <v>1</v>
      </c>
      <c r="H15" s="134"/>
      <c r="I15" s="135"/>
      <c r="J15" s="136"/>
      <c r="K15" s="112"/>
      <c r="L15" s="118" t="s">
        <v>168</v>
      </c>
      <c r="M15" s="137">
        <f>SUM(I21:I23)/SUM(J21:J23)</f>
        <v>0.18833761858827558</v>
      </c>
      <c r="N15" s="114"/>
    </row>
    <row r="16" spans="1:14" ht="18.5" x14ac:dyDescent="0.45">
      <c r="A16" s="114"/>
      <c r="B16" s="123">
        <f>EDATE(B15,3)</f>
        <v>45836</v>
      </c>
      <c r="C16" s="124">
        <v>0.04</v>
      </c>
      <c r="D16" s="138"/>
      <c r="E16" s="125">
        <f>(B16-$B$15)/365</f>
        <v>0.25205479452054796</v>
      </c>
      <c r="F16" s="139"/>
      <c r="G16" s="139">
        <f>EXP(-C16*E16)</f>
        <v>0.98996846313427345</v>
      </c>
      <c r="H16" s="139"/>
      <c r="I16" s="140"/>
      <c r="J16" s="141"/>
      <c r="K16" s="112"/>
      <c r="L16" s="114"/>
      <c r="M16" s="114"/>
      <c r="N16" s="114"/>
    </row>
    <row r="17" spans="1:15" ht="18.5" x14ac:dyDescent="0.45">
      <c r="A17" s="114"/>
      <c r="B17" s="123">
        <f t="shared" ref="B17:B23" si="7">EDATE(B16,3)</f>
        <v>45928</v>
      </c>
      <c r="C17" s="124">
        <v>4.4999999999999998E-2</v>
      </c>
      <c r="D17" s="138"/>
      <c r="E17" s="125">
        <f t="shared" ref="E17:E23" si="8">(B17-$B$15)/365</f>
        <v>0.50410958904109593</v>
      </c>
      <c r="F17" s="139"/>
      <c r="G17" s="139">
        <f t="shared" ref="G17:G23" si="9">EXP(-C17*E17)</f>
        <v>0.9775704369020688</v>
      </c>
      <c r="H17" s="139"/>
      <c r="I17" s="140"/>
      <c r="J17" s="141"/>
      <c r="K17" s="112"/>
      <c r="L17" s="112"/>
      <c r="M17" s="112"/>
    </row>
    <row r="18" spans="1:15" ht="18.5" x14ac:dyDescent="0.45">
      <c r="A18" s="114"/>
      <c r="B18" s="123">
        <f t="shared" si="7"/>
        <v>46019</v>
      </c>
      <c r="C18" s="124">
        <v>0.05</v>
      </c>
      <c r="D18" s="138"/>
      <c r="E18" s="125">
        <f t="shared" si="8"/>
        <v>0.75342465753424659</v>
      </c>
      <c r="F18" s="139"/>
      <c r="G18" s="139">
        <f t="shared" si="9"/>
        <v>0.96302950128980258</v>
      </c>
      <c r="H18" s="139"/>
      <c r="I18" s="140"/>
      <c r="J18" s="141"/>
      <c r="K18" s="112"/>
      <c r="L18" s="112"/>
      <c r="M18" s="112"/>
    </row>
    <row r="19" spans="1:15" ht="18.5" x14ac:dyDescent="0.45">
      <c r="A19" s="114"/>
      <c r="B19" s="123">
        <f t="shared" si="7"/>
        <v>46109</v>
      </c>
      <c r="C19" s="124">
        <v>0.06</v>
      </c>
      <c r="D19" s="138">
        <v>30</v>
      </c>
      <c r="E19" s="125">
        <f t="shared" si="8"/>
        <v>1</v>
      </c>
      <c r="F19" s="139"/>
      <c r="G19" s="139">
        <f t="shared" si="9"/>
        <v>0.94176453358424872</v>
      </c>
      <c r="H19" s="139"/>
      <c r="I19" s="140"/>
      <c r="J19" s="141"/>
      <c r="K19" s="112"/>
      <c r="L19" s="112"/>
      <c r="M19" s="112"/>
    </row>
    <row r="20" spans="1:15" ht="18.5" x14ac:dyDescent="0.45">
      <c r="A20" s="114"/>
      <c r="B20" s="123">
        <f t="shared" si="7"/>
        <v>46201</v>
      </c>
      <c r="C20" s="124">
        <v>7.0000000000000007E-2</v>
      </c>
      <c r="D20" s="138"/>
      <c r="E20" s="125">
        <f t="shared" si="8"/>
        <v>1.252054794520548</v>
      </c>
      <c r="F20" s="139"/>
      <c r="G20" s="139">
        <f t="shared" si="9"/>
        <v>0.91608709622190843</v>
      </c>
      <c r="H20" s="139"/>
      <c r="I20" s="140"/>
      <c r="J20" s="141"/>
      <c r="K20" s="112"/>
      <c r="L20" s="112"/>
      <c r="M20" s="112"/>
    </row>
    <row r="21" spans="1:15" ht="18.5" x14ac:dyDescent="0.45">
      <c r="A21" s="114"/>
      <c r="B21" s="123">
        <f t="shared" si="7"/>
        <v>46293</v>
      </c>
      <c r="C21" s="126">
        <v>0.08</v>
      </c>
      <c r="D21" s="138">
        <v>20</v>
      </c>
      <c r="E21" s="125">
        <f t="shared" si="8"/>
        <v>1.5041095890410958</v>
      </c>
      <c r="F21" s="139">
        <f>(E21-E19)</f>
        <v>0.50410958904109582</v>
      </c>
      <c r="G21" s="139">
        <f t="shared" si="9"/>
        <v>0.88662889436398939</v>
      </c>
      <c r="H21" s="139">
        <f>((G19/G21)-1)/F21</f>
        <v>0.12335750447148987</v>
      </c>
      <c r="I21" s="140">
        <f>H21*F21*G21*D19</f>
        <v>1.6540691766077802</v>
      </c>
      <c r="J21" s="141">
        <f>F21*G21*D19</f>
        <v>13.408743827093756</v>
      </c>
      <c r="K21" s="112"/>
      <c r="L21" s="112"/>
      <c r="M21" s="112"/>
    </row>
    <row r="22" spans="1:15" ht="18.5" x14ac:dyDescent="0.45">
      <c r="A22" s="114"/>
      <c r="B22" s="123">
        <f t="shared" si="7"/>
        <v>46384</v>
      </c>
      <c r="C22" s="124">
        <v>0.1</v>
      </c>
      <c r="D22" s="138"/>
      <c r="E22" s="125">
        <f t="shared" si="8"/>
        <v>1.7534246575342465</v>
      </c>
      <c r="F22" s="139"/>
      <c r="G22" s="139">
        <f t="shared" si="9"/>
        <v>0.8391695847094347</v>
      </c>
      <c r="H22" s="139"/>
      <c r="I22" s="140"/>
      <c r="J22" s="141"/>
      <c r="K22" s="112"/>
      <c r="L22" s="112"/>
      <c r="M22" s="112"/>
    </row>
    <row r="23" spans="1:15" ht="18.5" x14ac:dyDescent="0.45">
      <c r="A23" s="114"/>
      <c r="B23" s="127">
        <f t="shared" si="7"/>
        <v>46474</v>
      </c>
      <c r="C23" s="128">
        <v>0.13</v>
      </c>
      <c r="D23" s="142"/>
      <c r="E23" s="143">
        <f t="shared" si="8"/>
        <v>2</v>
      </c>
      <c r="F23" s="144">
        <f>(E23-E21)</f>
        <v>0.49589041095890418</v>
      </c>
      <c r="G23" s="144">
        <f t="shared" si="9"/>
        <v>0.77105158580356625</v>
      </c>
      <c r="H23" s="144">
        <f>((G21/G23)-1)/F23</f>
        <v>0.30227583654624945</v>
      </c>
      <c r="I23" s="145">
        <f>H23*F23*G23*D21</f>
        <v>2.311546171208462</v>
      </c>
      <c r="J23" s="146">
        <f>F23*G23*D21</f>
        <v>7.6471417550929042</v>
      </c>
      <c r="K23" s="112"/>
      <c r="L23" s="112"/>
      <c r="M23" s="112"/>
    </row>
    <row r="24" spans="1:15" ht="18.5" x14ac:dyDescent="0.45">
      <c r="A24" s="114"/>
      <c r="B24" s="130"/>
      <c r="C24" s="131"/>
      <c r="D24" s="147"/>
      <c r="E24" s="122"/>
      <c r="F24" s="122"/>
      <c r="G24" s="122"/>
      <c r="H24" s="112"/>
      <c r="I24" s="112"/>
      <c r="J24" s="112"/>
      <c r="K24" s="112"/>
      <c r="L24" s="112"/>
      <c r="M24" s="112"/>
    </row>
    <row r="25" spans="1:15" ht="18.5" x14ac:dyDescent="0.45">
      <c r="A25" s="110" t="s">
        <v>169</v>
      </c>
      <c r="B25" s="122"/>
      <c r="C25" s="122"/>
      <c r="D25" s="122"/>
      <c r="E25" s="122"/>
      <c r="F25" s="122"/>
      <c r="G25" s="122"/>
      <c r="H25" s="112"/>
      <c r="I25" s="112"/>
      <c r="J25" s="112"/>
      <c r="K25" s="112"/>
      <c r="L25" s="112"/>
      <c r="M25" s="112"/>
    </row>
    <row r="26" spans="1:15" ht="18.5" x14ac:dyDescent="0.45">
      <c r="A26" s="114"/>
      <c r="B26" s="148" t="s">
        <v>156</v>
      </c>
      <c r="C26" s="116" t="s">
        <v>157</v>
      </c>
      <c r="D26" s="116" t="s">
        <v>179</v>
      </c>
      <c r="E26" s="117" t="s">
        <v>158</v>
      </c>
      <c r="F26" s="117" t="s">
        <v>159</v>
      </c>
      <c r="G26" s="117" t="s">
        <v>160</v>
      </c>
      <c r="H26" s="116" t="s">
        <v>161</v>
      </c>
      <c r="I26" s="116" t="s">
        <v>162</v>
      </c>
      <c r="J26" s="118" t="s">
        <v>170</v>
      </c>
      <c r="K26" s="112"/>
      <c r="L26" s="118" t="s">
        <v>171</v>
      </c>
      <c r="M26" s="155">
        <f>M2</f>
        <v>0.12566019963644465</v>
      </c>
      <c r="N26" s="114"/>
      <c r="O26" s="114"/>
    </row>
    <row r="27" spans="1:15" ht="18.5" x14ac:dyDescent="0.45">
      <c r="A27" s="114"/>
      <c r="B27" s="149">
        <v>45792</v>
      </c>
      <c r="C27" s="124"/>
      <c r="D27" s="115"/>
      <c r="E27" s="150"/>
      <c r="F27" s="150">
        <v>1</v>
      </c>
      <c r="G27" s="150"/>
      <c r="H27" s="136"/>
      <c r="I27" s="136"/>
      <c r="J27" s="151"/>
      <c r="K27" s="112"/>
      <c r="L27" s="118" t="s">
        <v>172</v>
      </c>
      <c r="M27" s="118">
        <f>SUM(H28:H35)/SUM(I28:I35)</f>
        <v>5.0144935550196529E-2</v>
      </c>
      <c r="N27" s="114"/>
      <c r="O27" s="114"/>
    </row>
    <row r="28" spans="1:15" ht="18.5" x14ac:dyDescent="0.45">
      <c r="A28" s="114"/>
      <c r="B28" s="123">
        <v>45836</v>
      </c>
      <c r="C28" s="124">
        <v>0.02</v>
      </c>
      <c r="D28" s="125">
        <f>(B28-$B$27)/365</f>
        <v>0.12054794520547946</v>
      </c>
      <c r="E28" s="157">
        <f>E4</f>
        <v>0.25205479452054796</v>
      </c>
      <c r="F28" s="152">
        <f>EXP(-C28*D28)</f>
        <v>0.99759194512301019</v>
      </c>
      <c r="G28" s="157">
        <f>G4</f>
        <v>4.0202323217775247E-2</v>
      </c>
      <c r="H28" s="141"/>
      <c r="I28" s="141"/>
      <c r="J28" s="140">
        <f>(G28-M26)*E28*F28</f>
        <v>-2.1488197816322097E-2</v>
      </c>
      <c r="K28" s="112"/>
      <c r="L28" s="118" t="s">
        <v>173</v>
      </c>
      <c r="M28" s="156">
        <f>SUM(J28:J35)*10000000</f>
        <v>-1470463.4905534273</v>
      </c>
      <c r="N28" s="114"/>
      <c r="O28" s="114"/>
    </row>
    <row r="29" spans="1:15" ht="18.5" x14ac:dyDescent="0.45">
      <c r="A29" s="114"/>
      <c r="B29" s="123">
        <v>45928</v>
      </c>
      <c r="C29" s="124">
        <v>3.5000000000000003E-2</v>
      </c>
      <c r="D29" s="125">
        <f t="shared" ref="D29:D35" si="10">(B29-$B$27)/365</f>
        <v>0.37260273972602742</v>
      </c>
      <c r="E29" s="152">
        <f>(D29-D28)</f>
        <v>0.25205479452054796</v>
      </c>
      <c r="F29" s="152">
        <f t="shared" ref="F29:F35" si="11">EXP(-C29*D29)</f>
        <v>0.98704357075236648</v>
      </c>
      <c r="G29" s="152">
        <f t="shared" ref="G29:G35" si="12">((F28/F29)-1)/E29</f>
        <v>4.2398866669277287E-2</v>
      </c>
      <c r="H29" s="141">
        <f t="shared" ref="H29:H35" si="13">G29*E29*F29</f>
        <v>1.0548374370643614E-2</v>
      </c>
      <c r="I29" s="141">
        <f t="shared" ref="I29:I35" si="14">E29*F29</f>
        <v>0.24878906440881568</v>
      </c>
      <c r="J29" s="140">
        <f>($M$27-$M$26)*E29*F29</f>
        <v>-1.8787371900602309E-2</v>
      </c>
      <c r="K29" s="112"/>
      <c r="L29" s="114"/>
      <c r="M29" s="114"/>
      <c r="N29" s="114"/>
      <c r="O29" s="114"/>
    </row>
    <row r="30" spans="1:15" ht="18.5" x14ac:dyDescent="0.45">
      <c r="A30" s="114"/>
      <c r="B30" s="123">
        <v>46019</v>
      </c>
      <c r="C30" s="124">
        <v>0.04</v>
      </c>
      <c r="D30" s="125">
        <f t="shared" si="10"/>
        <v>0.62191780821917808</v>
      </c>
      <c r="E30" s="152">
        <f t="shared" ref="E30:E35" si="15">(D30-D29)</f>
        <v>0.24931506849315066</v>
      </c>
      <c r="F30" s="152">
        <f t="shared" si="11"/>
        <v>0.97543016312870368</v>
      </c>
      <c r="G30" s="152">
        <f t="shared" si="12"/>
        <v>4.7754572412685839E-2</v>
      </c>
      <c r="H30" s="141">
        <f t="shared" si="13"/>
        <v>1.1613407623662834E-2</v>
      </c>
      <c r="I30" s="141">
        <f t="shared" si="14"/>
        <v>0.24318943793071787</v>
      </c>
      <c r="J30" s="140">
        <f t="shared" ref="J30:J35" si="16">($M$27-$M$26)*E30*F30</f>
        <v>-1.8364514628324405E-2</v>
      </c>
      <c r="K30" s="112"/>
      <c r="L30" s="114"/>
      <c r="M30" s="114"/>
      <c r="N30" s="114"/>
      <c r="O30" s="114"/>
    </row>
    <row r="31" spans="1:15" ht="18.5" x14ac:dyDescent="0.45">
      <c r="A31" s="114"/>
      <c r="B31" s="123">
        <v>46109</v>
      </c>
      <c r="C31" s="124">
        <v>4.1000000000000002E-2</v>
      </c>
      <c r="D31" s="125">
        <f t="shared" si="10"/>
        <v>0.86849315068493149</v>
      </c>
      <c r="E31" s="152">
        <f t="shared" si="15"/>
        <v>0.24657534246575341</v>
      </c>
      <c r="F31" s="152">
        <f t="shared" si="11"/>
        <v>0.96501829509221437</v>
      </c>
      <c r="G31" s="152">
        <f t="shared" si="12"/>
        <v>4.3756589355708427E-2</v>
      </c>
      <c r="H31" s="141">
        <f t="shared" si="13"/>
        <v>1.0411868036489394E-2</v>
      </c>
      <c r="I31" s="141">
        <f t="shared" si="14"/>
        <v>0.23794971659808023</v>
      </c>
      <c r="J31" s="140">
        <f t="shared" si="16"/>
        <v>-1.7968835688151927E-2</v>
      </c>
      <c r="K31" s="112"/>
      <c r="L31" s="114"/>
      <c r="M31" s="114"/>
      <c r="N31" s="114"/>
      <c r="O31" s="114"/>
    </row>
    <row r="32" spans="1:15" ht="18.5" x14ac:dyDescent="0.45">
      <c r="A32" s="114"/>
      <c r="B32" s="123">
        <v>46201</v>
      </c>
      <c r="C32" s="124">
        <v>4.2999999999999997E-2</v>
      </c>
      <c r="D32" s="125">
        <f t="shared" si="10"/>
        <v>1.1205479452054794</v>
      </c>
      <c r="E32" s="152">
        <f t="shared" si="15"/>
        <v>0.25205479452054791</v>
      </c>
      <c r="F32" s="152">
        <f t="shared" si="11"/>
        <v>0.95295884432963396</v>
      </c>
      <c r="G32" s="152">
        <f t="shared" si="12"/>
        <v>5.0206323573531796E-2</v>
      </c>
      <c r="H32" s="141">
        <f t="shared" si="13"/>
        <v>1.2059450762580469E-2</v>
      </c>
      <c r="I32" s="141">
        <f t="shared" si="14"/>
        <v>0.24019784569404468</v>
      </c>
      <c r="J32" s="140">
        <f t="shared" si="16"/>
        <v>-1.8138603750533663E-2</v>
      </c>
      <c r="K32" s="112"/>
      <c r="L32" s="114"/>
      <c r="M32" s="114"/>
      <c r="N32" s="114"/>
      <c r="O32" s="114"/>
    </row>
    <row r="33" spans="1:15" ht="18.5" x14ac:dyDescent="0.45">
      <c r="A33" s="114"/>
      <c r="B33" s="123">
        <v>46293</v>
      </c>
      <c r="C33" s="126">
        <v>4.7E-2</v>
      </c>
      <c r="D33" s="125">
        <f t="shared" si="10"/>
        <v>1.3726027397260274</v>
      </c>
      <c r="E33" s="152">
        <f t="shared" si="15"/>
        <v>0.25205479452054802</v>
      </c>
      <c r="F33" s="152">
        <f t="shared" si="11"/>
        <v>0.93752455566887904</v>
      </c>
      <c r="G33" s="152">
        <f t="shared" si="12"/>
        <v>6.5314409367961165E-2</v>
      </c>
      <c r="H33" s="141">
        <f t="shared" si="13"/>
        <v>1.5434288660754858E-2</v>
      </c>
      <c r="I33" s="141">
        <f t="shared" si="14"/>
        <v>0.23630755923708738</v>
      </c>
      <c r="J33" s="140">
        <f t="shared" si="16"/>
        <v>-1.7844827741365376E-2</v>
      </c>
      <c r="K33" s="112"/>
      <c r="L33" s="114"/>
      <c r="M33" s="114"/>
      <c r="N33" s="114"/>
      <c r="O33" s="114"/>
    </row>
    <row r="34" spans="1:15" ht="18.5" x14ac:dyDescent="0.45">
      <c r="A34" s="114"/>
      <c r="B34" s="123">
        <v>46384</v>
      </c>
      <c r="C34" s="124">
        <v>4.7500000000000001E-2</v>
      </c>
      <c r="D34" s="125">
        <f t="shared" si="10"/>
        <v>1.6219178082191781</v>
      </c>
      <c r="E34" s="152">
        <f t="shared" si="15"/>
        <v>0.24931506849315066</v>
      </c>
      <c r="F34" s="152">
        <f t="shared" si="11"/>
        <v>0.92585180412038304</v>
      </c>
      <c r="G34" s="152">
        <f t="shared" si="12"/>
        <v>5.0568868560453825E-2</v>
      </c>
      <c r="H34" s="141">
        <f t="shared" si="13"/>
        <v>1.1672751548496067E-2</v>
      </c>
      <c r="I34" s="141">
        <f t="shared" si="14"/>
        <v>0.23082880595878041</v>
      </c>
      <c r="J34" s="140">
        <f t="shared" si="16"/>
        <v>-1.7431098240690626E-2</v>
      </c>
      <c r="K34" s="112"/>
      <c r="L34" s="114"/>
      <c r="M34" s="114"/>
      <c r="N34" s="114"/>
      <c r="O34" s="114"/>
    </row>
    <row r="35" spans="1:15" ht="18.5" x14ac:dyDescent="0.45">
      <c r="A35" s="114"/>
      <c r="B35" s="127">
        <v>46474</v>
      </c>
      <c r="C35" s="128">
        <v>4.8000000000000001E-2</v>
      </c>
      <c r="D35" s="129">
        <f t="shared" si="10"/>
        <v>1.8684931506849316</v>
      </c>
      <c r="E35" s="153">
        <f t="shared" si="15"/>
        <v>0.24657534246575352</v>
      </c>
      <c r="F35" s="153">
        <f t="shared" si="11"/>
        <v>0.91421667685285557</v>
      </c>
      <c r="G35" s="153">
        <f t="shared" si="12"/>
        <v>5.161457477657877E-2</v>
      </c>
      <c r="H35" s="146">
        <f t="shared" si="13"/>
        <v>1.1635127267527499E-2</v>
      </c>
      <c r="I35" s="146">
        <f t="shared" si="14"/>
        <v>0.22542329018289597</v>
      </c>
      <c r="J35" s="145">
        <f t="shared" si="16"/>
        <v>-1.7022899289352335E-2</v>
      </c>
      <c r="K35" s="112"/>
      <c r="L35" s="114"/>
      <c r="M35" s="114"/>
      <c r="N35" s="114"/>
      <c r="O35" s="114"/>
    </row>
    <row r="36" spans="1:15" ht="18.5" x14ac:dyDescent="0.45">
      <c r="A36" s="114"/>
      <c r="B36" s="114"/>
      <c r="C36" s="122"/>
      <c r="D36" s="122"/>
      <c r="E36" s="122"/>
      <c r="F36" s="122"/>
      <c r="G36" s="122"/>
      <c r="H36" s="112"/>
      <c r="I36" s="112"/>
      <c r="J36" s="112"/>
      <c r="K36" s="112"/>
      <c r="L36" s="114"/>
      <c r="M36" s="114"/>
      <c r="N36" s="114"/>
      <c r="O36" s="114"/>
    </row>
    <row r="37" spans="1:15" ht="18.5" x14ac:dyDescent="0.45">
      <c r="A37" s="110" t="s">
        <v>174</v>
      </c>
      <c r="B37" s="122"/>
      <c r="C37" s="122"/>
      <c r="D37" s="122"/>
      <c r="E37" s="114"/>
      <c r="F37" s="114"/>
      <c r="G37" s="114"/>
      <c r="H37" s="112"/>
      <c r="I37" s="112"/>
      <c r="J37" s="112"/>
      <c r="K37" s="112"/>
      <c r="L37" s="114"/>
      <c r="M37" s="114"/>
      <c r="N37" s="114"/>
      <c r="O37" s="114"/>
    </row>
    <row r="38" spans="1:15" ht="18.5" x14ac:dyDescent="0.45">
      <c r="A38" s="114"/>
      <c r="B38" s="115" t="s">
        <v>156</v>
      </c>
      <c r="C38" s="116" t="s">
        <v>157</v>
      </c>
      <c r="D38" s="116" t="s">
        <v>165</v>
      </c>
      <c r="E38" s="116" t="s">
        <v>179</v>
      </c>
      <c r="F38" s="117" t="s">
        <v>158</v>
      </c>
      <c r="G38" s="117" t="s">
        <v>159</v>
      </c>
      <c r="H38" s="117" t="s">
        <v>160</v>
      </c>
      <c r="I38" s="116" t="s">
        <v>166</v>
      </c>
      <c r="J38" s="116" t="s">
        <v>167</v>
      </c>
      <c r="K38" s="118" t="s">
        <v>175</v>
      </c>
      <c r="L38" s="114"/>
      <c r="M38" s="114"/>
      <c r="N38" s="114"/>
      <c r="O38" s="114"/>
    </row>
    <row r="39" spans="1:15" ht="18.5" x14ac:dyDescent="0.45">
      <c r="A39" s="114"/>
      <c r="B39" s="149">
        <v>45792</v>
      </c>
      <c r="C39" s="124"/>
      <c r="D39" s="133"/>
      <c r="E39" s="115"/>
      <c r="F39" s="134"/>
      <c r="G39" s="134">
        <v>1</v>
      </c>
      <c r="H39" s="134"/>
      <c r="I39" s="135"/>
      <c r="J39" s="136"/>
      <c r="K39" s="135"/>
      <c r="L39" s="114"/>
      <c r="M39" s="118" t="s">
        <v>176</v>
      </c>
      <c r="N39" s="155">
        <f>M15</f>
        <v>0.18833761858827558</v>
      </c>
      <c r="O39" s="114"/>
    </row>
    <row r="40" spans="1:15" ht="18.5" x14ac:dyDescent="0.45">
      <c r="A40" s="114"/>
      <c r="B40" s="123">
        <v>45836</v>
      </c>
      <c r="C40" s="124">
        <v>0.02</v>
      </c>
      <c r="D40" s="138"/>
      <c r="E40" s="125">
        <f>(B40-$B$39)/365</f>
        <v>0.12054794520547946</v>
      </c>
      <c r="F40" s="139"/>
      <c r="G40" s="139">
        <f>EXP(-C40*E40)</f>
        <v>0.99759194512301019</v>
      </c>
      <c r="H40" s="139"/>
      <c r="I40" s="140"/>
      <c r="J40" s="141"/>
      <c r="K40" s="154"/>
      <c r="L40" s="112"/>
      <c r="M40" s="118" t="s">
        <v>172</v>
      </c>
      <c r="N40" s="158">
        <f>SUM(I39:I47)/SUM(J39:J47)</f>
        <v>5.5536379631835331E-2</v>
      </c>
    </row>
    <row r="41" spans="1:15" ht="18.5" x14ac:dyDescent="0.45">
      <c r="A41" s="114"/>
      <c r="B41" s="123">
        <v>45928</v>
      </c>
      <c r="C41" s="124">
        <v>3.5000000000000003E-2</v>
      </c>
      <c r="D41" s="138"/>
      <c r="E41" s="125">
        <f t="shared" ref="E41:E47" si="17">(B41-$B$39)/365</f>
        <v>0.37260273972602742</v>
      </c>
      <c r="F41" s="139"/>
      <c r="G41" s="139">
        <f t="shared" ref="G41:G47" si="18">EXP(-C41*E41)</f>
        <v>0.98704357075236648</v>
      </c>
      <c r="H41" s="139"/>
      <c r="I41" s="140"/>
      <c r="J41" s="141"/>
      <c r="K41" s="154"/>
      <c r="L41" s="112"/>
      <c r="M41" s="118" t="s">
        <v>173</v>
      </c>
      <c r="N41" s="159">
        <f>SUM(K45:K47)*1000000</f>
        <v>3087028.4413524684</v>
      </c>
    </row>
    <row r="42" spans="1:15" ht="18.5" x14ac:dyDescent="0.45">
      <c r="A42" s="114"/>
      <c r="B42" s="123">
        <v>46019</v>
      </c>
      <c r="C42" s="124">
        <v>0.04</v>
      </c>
      <c r="D42" s="138"/>
      <c r="E42" s="125">
        <f t="shared" si="17"/>
        <v>0.62191780821917808</v>
      </c>
      <c r="F42" s="139"/>
      <c r="G42" s="139">
        <f t="shared" si="18"/>
        <v>0.97543016312870368</v>
      </c>
      <c r="H42" s="139"/>
      <c r="I42" s="140"/>
      <c r="J42" s="141"/>
      <c r="K42" s="154"/>
      <c r="L42" s="112"/>
      <c r="M42" s="112"/>
    </row>
    <row r="43" spans="1:15" ht="18.5" x14ac:dyDescent="0.45">
      <c r="A43" s="114"/>
      <c r="B43" s="123">
        <v>46109</v>
      </c>
      <c r="C43" s="124">
        <v>4.1000000000000002E-2</v>
      </c>
      <c r="D43" s="138">
        <v>30</v>
      </c>
      <c r="E43" s="125">
        <f t="shared" si="17"/>
        <v>0.86849315068493149</v>
      </c>
      <c r="F43" s="139"/>
      <c r="G43" s="139">
        <f t="shared" si="18"/>
        <v>0.96501829509221437</v>
      </c>
      <c r="H43" s="139"/>
      <c r="I43" s="140"/>
      <c r="J43" s="141"/>
      <c r="K43" s="154"/>
      <c r="L43" s="112"/>
      <c r="M43" s="112"/>
    </row>
    <row r="44" spans="1:15" ht="18.5" x14ac:dyDescent="0.45">
      <c r="A44" s="114"/>
      <c r="B44" s="123">
        <v>46201</v>
      </c>
      <c r="C44" s="124">
        <v>4.2999999999999997E-2</v>
      </c>
      <c r="D44" s="138"/>
      <c r="E44" s="125">
        <f t="shared" si="17"/>
        <v>1.1205479452054794</v>
      </c>
      <c r="F44" s="139"/>
      <c r="G44" s="139">
        <f t="shared" si="18"/>
        <v>0.95295884432963396</v>
      </c>
      <c r="H44" s="139"/>
      <c r="I44" s="140"/>
      <c r="J44" s="141"/>
      <c r="K44" s="154"/>
      <c r="L44" s="112"/>
      <c r="M44" s="112"/>
    </row>
    <row r="45" spans="1:15" ht="18.5" x14ac:dyDescent="0.45">
      <c r="A45" s="114"/>
      <c r="B45" s="123">
        <v>46293</v>
      </c>
      <c r="C45" s="126">
        <v>4.7E-2</v>
      </c>
      <c r="D45" s="138">
        <v>20</v>
      </c>
      <c r="E45" s="125">
        <f t="shared" si="17"/>
        <v>1.3726027397260274</v>
      </c>
      <c r="F45" s="139">
        <f>(E45-E43)</f>
        <v>0.50410958904109593</v>
      </c>
      <c r="G45" s="139">
        <f t="shared" si="18"/>
        <v>0.93752455566887904</v>
      </c>
      <c r="H45" s="139">
        <f>((G43/G45)-1)/F45</f>
        <v>5.81736350544566E-2</v>
      </c>
      <c r="I45" s="140">
        <f>H45*F45*G45*D43</f>
        <v>0.82481218270006229</v>
      </c>
      <c r="J45" s="141">
        <f>F45*G45*D43</f>
        <v>14.178453554225241</v>
      </c>
      <c r="K45" s="140">
        <f>($N$39-$N$40)*D43*F45*G45</f>
        <v>1.8829161984874556</v>
      </c>
      <c r="L45" s="112"/>
      <c r="M45" s="112"/>
    </row>
    <row r="46" spans="1:15" ht="18.5" x14ac:dyDescent="0.45">
      <c r="A46" s="114"/>
      <c r="B46" s="123">
        <v>46384</v>
      </c>
      <c r="C46" s="124">
        <v>4.7500000000000001E-2</v>
      </c>
      <c r="D46" s="138"/>
      <c r="E46" s="125">
        <f t="shared" si="17"/>
        <v>1.6219178082191781</v>
      </c>
      <c r="F46" s="139"/>
      <c r="G46" s="139">
        <f t="shared" si="18"/>
        <v>0.92585180412038304</v>
      </c>
      <c r="H46" s="139"/>
      <c r="I46" s="140"/>
      <c r="J46" s="141"/>
      <c r="K46" s="154"/>
      <c r="L46" s="112"/>
      <c r="M46" s="112"/>
    </row>
    <row r="47" spans="1:15" ht="18.5" x14ac:dyDescent="0.45">
      <c r="A47" s="114"/>
      <c r="B47" s="127">
        <v>46474</v>
      </c>
      <c r="C47" s="128">
        <v>4.8000000000000001E-2</v>
      </c>
      <c r="D47" s="142"/>
      <c r="E47" s="129">
        <f t="shared" si="17"/>
        <v>1.8684931506849316</v>
      </c>
      <c r="F47" s="144">
        <f>(E47-E45)</f>
        <v>0.49589041095890418</v>
      </c>
      <c r="G47" s="144">
        <f t="shared" si="18"/>
        <v>0.91421667685285557</v>
      </c>
      <c r="H47" s="144">
        <f>((G45/G47)-1)/F47</f>
        <v>5.1412402831311134E-2</v>
      </c>
      <c r="I47" s="145">
        <f>H47*F47*G47*D45</f>
        <v>0.46615757632046861</v>
      </c>
      <c r="J47" s="146">
        <f>F47*G47*D45</f>
        <v>9.0670256718009252</v>
      </c>
      <c r="K47" s="145">
        <f>($N$39-$N$40)*D45*F47*G47</f>
        <v>1.2041122428650128</v>
      </c>
      <c r="L47" s="112"/>
      <c r="M47" s="112"/>
    </row>
    <row r="48" spans="1:15" x14ac:dyDescent="0.35">
      <c r="A48" s="112"/>
      <c r="B48" s="114"/>
      <c r="C48" s="114"/>
      <c r="D48" s="114"/>
      <c r="E48" s="114"/>
      <c r="F48" s="114"/>
      <c r="G48" s="114"/>
      <c r="H48" s="112"/>
      <c r="I48" s="112"/>
      <c r="J48" s="112"/>
      <c r="K48" s="112"/>
      <c r="L48" s="112"/>
      <c r="M48" s="112"/>
    </row>
    <row r="49" spans="1:13" x14ac:dyDescent="0.35">
      <c r="A49" s="112"/>
      <c r="B49" s="114"/>
      <c r="C49" s="114"/>
      <c r="D49" s="114"/>
      <c r="E49" s="114"/>
      <c r="F49" s="114"/>
      <c r="G49" s="114"/>
      <c r="H49" s="112"/>
      <c r="I49" s="112"/>
      <c r="J49" s="112"/>
      <c r="K49" s="112"/>
      <c r="L49" s="112"/>
      <c r="M49" s="112"/>
    </row>
    <row r="50" spans="1:13" x14ac:dyDescent="0.35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</row>
    <row r="51" spans="1:13" x14ac:dyDescent="0.35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</row>
    <row r="52" spans="1:13" x14ac:dyDescent="0.35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</row>
    <row r="53" spans="1:13" x14ac:dyDescent="0.35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</row>
    <row r="54" spans="1:13" x14ac:dyDescent="0.35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</row>
    <row r="55" spans="1:13" x14ac:dyDescent="0.3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</row>
    <row r="56" spans="1:13" x14ac:dyDescent="0.35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</row>
    <row r="57" spans="1:13" x14ac:dyDescent="0.35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</row>
    <row r="58" spans="1:13" x14ac:dyDescent="0.35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</row>
    <row r="59" spans="1:13" x14ac:dyDescent="0.35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</row>
    <row r="60" spans="1:13" x14ac:dyDescent="0.35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</row>
    <row r="61" spans="1:13" x14ac:dyDescent="0.35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</row>
    <row r="62" spans="1:13" x14ac:dyDescent="0.35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</row>
    <row r="63" spans="1:13" x14ac:dyDescent="0.35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</row>
    <row r="64" spans="1:13" x14ac:dyDescent="0.35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</row>
    <row r="65" spans="1:13" x14ac:dyDescent="0.3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</row>
    <row r="66" spans="1:13" x14ac:dyDescent="0.35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</row>
    <row r="67" spans="1:13" x14ac:dyDescent="0.35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</row>
    <row r="68" spans="1:13" x14ac:dyDescent="0.35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</row>
    <row r="69" spans="1:13" x14ac:dyDescent="0.35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</row>
    <row r="70" spans="1:13" x14ac:dyDescent="0.35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</row>
    <row r="71" spans="1:13" x14ac:dyDescent="0.35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</row>
    <row r="72" spans="1:13" x14ac:dyDescent="0.35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</row>
    <row r="73" spans="1:13" x14ac:dyDescent="0.35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</row>
    <row r="74" spans="1:13" x14ac:dyDescent="0.35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</row>
    <row r="75" spans="1:13" x14ac:dyDescent="0.3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</row>
    <row r="76" spans="1:13" x14ac:dyDescent="0.35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</row>
    <row r="77" spans="1:13" x14ac:dyDescent="0.35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</row>
    <row r="78" spans="1:13" x14ac:dyDescent="0.35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</row>
    <row r="79" spans="1:13" x14ac:dyDescent="0.35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</row>
    <row r="80" spans="1:13" x14ac:dyDescent="0.35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</row>
    <row r="81" spans="1:13" x14ac:dyDescent="0.35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Question 1</vt:lpstr>
      <vt:lpstr>Question 2a_1</vt:lpstr>
      <vt:lpstr>Question 2a_2</vt:lpstr>
      <vt:lpstr>Question 2a_3</vt:lpstr>
      <vt:lpstr>Question 2b</vt:lpstr>
      <vt:lpstr>Question 2c</vt:lpstr>
      <vt:lpstr>Question 3a</vt:lpstr>
      <vt:lpstr>Question 3b</vt:lpstr>
      <vt:lpstr>Question 3c</vt:lpstr>
      <vt:lpstr>Question 4</vt:lpstr>
      <vt:lpstr>Question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diego indran</cp:lastModifiedBy>
  <dcterms:created xsi:type="dcterms:W3CDTF">1996-10-14T23:33:28Z</dcterms:created>
  <dcterms:modified xsi:type="dcterms:W3CDTF">2026-03-19T21:18:10Z</dcterms:modified>
</cp:coreProperties>
</file>